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915" windowHeight="8010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L16" i="1" l="1"/>
  <c r="K16" i="1"/>
  <c r="J16" i="1"/>
  <c r="I16" i="1"/>
  <c r="H16" i="1"/>
  <c r="G16" i="1"/>
  <c r="F16" i="1"/>
  <c r="M15" i="1"/>
  <c r="M14" i="1"/>
  <c r="M13" i="1"/>
  <c r="E10" i="1"/>
  <c r="A3" i="1"/>
  <c r="A5" i="1" s="1"/>
  <c r="A11" i="1" l="1"/>
  <c r="A15" i="1"/>
  <c r="A9" i="1"/>
  <c r="A502" i="1"/>
  <c r="A500" i="1"/>
  <c r="A498" i="1"/>
  <c r="A496" i="1"/>
  <c r="A494" i="1"/>
  <c r="A492" i="1"/>
  <c r="A490" i="1"/>
  <c r="A488" i="1"/>
  <c r="A486" i="1"/>
  <c r="A484" i="1"/>
  <c r="A482" i="1"/>
  <c r="A480" i="1"/>
  <c r="A478" i="1"/>
  <c r="A476" i="1"/>
  <c r="A474" i="1"/>
  <c r="A472" i="1"/>
  <c r="A470" i="1"/>
  <c r="A468" i="1"/>
  <c r="A466" i="1"/>
  <c r="A464" i="1"/>
  <c r="A462" i="1"/>
  <c r="A460" i="1"/>
  <c r="A458" i="1"/>
  <c r="A456" i="1"/>
  <c r="A454" i="1"/>
  <c r="A452" i="1"/>
  <c r="A450" i="1"/>
  <c r="A448" i="1"/>
  <c r="A446" i="1"/>
  <c r="A444" i="1"/>
  <c r="A442" i="1"/>
  <c r="A440" i="1"/>
  <c r="A438" i="1"/>
  <c r="A436" i="1"/>
  <c r="A434" i="1"/>
  <c r="A432" i="1"/>
  <c r="A430" i="1"/>
  <c r="A428" i="1"/>
  <c r="A426" i="1"/>
  <c r="A424" i="1"/>
  <c r="A422" i="1"/>
  <c r="A420" i="1"/>
  <c r="A418" i="1"/>
  <c r="A416" i="1"/>
  <c r="A414" i="1"/>
  <c r="A412" i="1"/>
  <c r="A410" i="1"/>
  <c r="A408" i="1"/>
  <c r="A406" i="1"/>
  <c r="A404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346" i="1"/>
  <c r="A344" i="1"/>
  <c r="A342" i="1"/>
  <c r="A340" i="1"/>
  <c r="A338" i="1"/>
  <c r="A336" i="1"/>
  <c r="A334" i="1"/>
  <c r="A501" i="1"/>
  <c r="A493" i="1"/>
  <c r="A485" i="1"/>
  <c r="A477" i="1"/>
  <c r="A469" i="1"/>
  <c r="A461" i="1"/>
  <c r="A453" i="1"/>
  <c r="A445" i="1"/>
  <c r="A437" i="1"/>
  <c r="A429" i="1"/>
  <c r="A421" i="1"/>
  <c r="A413" i="1"/>
  <c r="A503" i="1"/>
  <c r="A495" i="1"/>
  <c r="A487" i="1"/>
  <c r="A479" i="1"/>
  <c r="A471" i="1"/>
  <c r="A463" i="1"/>
  <c r="A455" i="1"/>
  <c r="A447" i="1"/>
  <c r="A439" i="1"/>
  <c r="A431" i="1"/>
  <c r="A423" i="1"/>
  <c r="A415" i="1"/>
  <c r="A407" i="1"/>
  <c r="A399" i="1"/>
  <c r="A391" i="1"/>
  <c r="A383" i="1"/>
  <c r="A375" i="1"/>
  <c r="A367" i="1"/>
  <c r="A359" i="1"/>
  <c r="A351" i="1"/>
  <c r="A343" i="1"/>
  <c r="A335" i="1"/>
  <c r="A497" i="1"/>
  <c r="A489" i="1"/>
  <c r="A481" i="1"/>
  <c r="A473" i="1"/>
  <c r="A465" i="1"/>
  <c r="A457" i="1"/>
  <c r="A449" i="1"/>
  <c r="A441" i="1"/>
  <c r="A499" i="1"/>
  <c r="A491" i="1"/>
  <c r="A483" i="1"/>
  <c r="A475" i="1"/>
  <c r="A467" i="1"/>
  <c r="A459" i="1"/>
  <c r="A451" i="1"/>
  <c r="A443" i="1"/>
  <c r="A435" i="1"/>
  <c r="A427" i="1"/>
  <c r="A419" i="1"/>
  <c r="A411" i="1"/>
  <c r="A403" i="1"/>
  <c r="A395" i="1"/>
  <c r="A387" i="1"/>
  <c r="A379" i="1"/>
  <c r="A371" i="1"/>
  <c r="A363" i="1"/>
  <c r="A355" i="1"/>
  <c r="A347" i="1"/>
  <c r="A339" i="1"/>
  <c r="A425" i="1"/>
  <c r="A397" i="1"/>
  <c r="A381" i="1"/>
  <c r="A365" i="1"/>
  <c r="A349" i="1"/>
  <c r="A333" i="1"/>
  <c r="A329" i="1"/>
  <c r="A325" i="1"/>
  <c r="A321" i="1"/>
  <c r="A317" i="1"/>
  <c r="A313" i="1"/>
  <c r="A309" i="1"/>
  <c r="A305" i="1"/>
  <c r="A301" i="1"/>
  <c r="A297" i="1"/>
  <c r="A293" i="1"/>
  <c r="A191" i="1"/>
  <c r="A189" i="1"/>
  <c r="A187" i="1"/>
  <c r="A185" i="1"/>
  <c r="A183" i="1"/>
  <c r="A181" i="1"/>
  <c r="A433" i="1"/>
  <c r="A401" i="1"/>
  <c r="A385" i="1"/>
  <c r="A369" i="1"/>
  <c r="A353" i="1"/>
  <c r="A337" i="1"/>
  <c r="A332" i="1"/>
  <c r="A328" i="1"/>
  <c r="A324" i="1"/>
  <c r="A320" i="1"/>
  <c r="A316" i="1"/>
  <c r="A312" i="1"/>
  <c r="A308" i="1"/>
  <c r="A304" i="1"/>
  <c r="A300" i="1"/>
  <c r="A296" i="1"/>
  <c r="A292" i="1"/>
  <c r="A290" i="1"/>
  <c r="A288" i="1"/>
  <c r="A286" i="1"/>
  <c r="A284" i="1"/>
  <c r="A282" i="1"/>
  <c r="A280" i="1"/>
  <c r="A278" i="1"/>
  <c r="A276" i="1"/>
  <c r="A274" i="1"/>
  <c r="A272" i="1"/>
  <c r="A270" i="1"/>
  <c r="A268" i="1"/>
  <c r="A266" i="1"/>
  <c r="A264" i="1"/>
  <c r="A262" i="1"/>
  <c r="A260" i="1"/>
  <c r="A258" i="1"/>
  <c r="A256" i="1"/>
  <c r="A254" i="1"/>
  <c r="A252" i="1"/>
  <c r="A250" i="1"/>
  <c r="A248" i="1"/>
  <c r="A246" i="1"/>
  <c r="A244" i="1"/>
  <c r="A242" i="1"/>
  <c r="A240" i="1"/>
  <c r="A238" i="1"/>
  <c r="A236" i="1"/>
  <c r="A234" i="1"/>
  <c r="A232" i="1"/>
  <c r="A230" i="1"/>
  <c r="A228" i="1"/>
  <c r="A226" i="1"/>
  <c r="A224" i="1"/>
  <c r="A222" i="1"/>
  <c r="A220" i="1"/>
  <c r="A218" i="1"/>
  <c r="A216" i="1"/>
  <c r="A214" i="1"/>
  <c r="A212" i="1"/>
  <c r="A210" i="1"/>
  <c r="A208" i="1"/>
  <c r="A206" i="1"/>
  <c r="A204" i="1"/>
  <c r="A202" i="1"/>
  <c r="A200" i="1"/>
  <c r="A198" i="1"/>
  <c r="A196" i="1"/>
  <c r="A194" i="1"/>
  <c r="A192" i="1"/>
  <c r="A179" i="1"/>
  <c r="A177" i="1"/>
  <c r="A175" i="1"/>
  <c r="A173" i="1"/>
  <c r="A171" i="1"/>
  <c r="A169" i="1"/>
  <c r="A167" i="1"/>
  <c r="A405" i="1"/>
  <c r="A389" i="1"/>
  <c r="A373" i="1"/>
  <c r="A357" i="1"/>
  <c r="A341" i="1"/>
  <c r="A331" i="1"/>
  <c r="A327" i="1"/>
  <c r="A323" i="1"/>
  <c r="A319" i="1"/>
  <c r="A315" i="1"/>
  <c r="A311" i="1"/>
  <c r="A307" i="1"/>
  <c r="A303" i="1"/>
  <c r="A299" i="1"/>
  <c r="A295" i="1"/>
  <c r="A417" i="1"/>
  <c r="A409" i="1"/>
  <c r="A393" i="1"/>
  <c r="A377" i="1"/>
  <c r="A361" i="1"/>
  <c r="A345" i="1"/>
  <c r="A330" i="1"/>
  <c r="A326" i="1"/>
  <c r="A322" i="1"/>
  <c r="A318" i="1"/>
  <c r="A314" i="1"/>
  <c r="A310" i="1"/>
  <c r="A306" i="1"/>
  <c r="A302" i="1"/>
  <c r="A298" i="1"/>
  <c r="A294" i="1"/>
  <c r="A291" i="1"/>
  <c r="A289" i="1"/>
  <c r="A287" i="1"/>
  <c r="A285" i="1"/>
  <c r="A283" i="1"/>
  <c r="A281" i="1"/>
  <c r="A279" i="1"/>
  <c r="A277" i="1"/>
  <c r="A275" i="1"/>
  <c r="A273" i="1"/>
  <c r="A271" i="1"/>
  <c r="A269" i="1"/>
  <c r="A267" i="1"/>
  <c r="A265" i="1"/>
  <c r="A263" i="1"/>
  <c r="A261" i="1"/>
  <c r="A259" i="1"/>
  <c r="A257" i="1"/>
  <c r="A255" i="1"/>
  <c r="A253" i="1"/>
  <c r="A251" i="1"/>
  <c r="A249" i="1"/>
  <c r="A247" i="1"/>
  <c r="A245" i="1"/>
  <c r="A243" i="1"/>
  <c r="A241" i="1"/>
  <c r="A239" i="1"/>
  <c r="A237" i="1"/>
  <c r="A235" i="1"/>
  <c r="A233" i="1"/>
  <c r="A231" i="1"/>
  <c r="A229" i="1"/>
  <c r="A227" i="1"/>
  <c r="A225" i="1"/>
  <c r="A223" i="1"/>
  <c r="A221" i="1"/>
  <c r="A219" i="1"/>
  <c r="A217" i="1"/>
  <c r="A215" i="1"/>
  <c r="A213" i="1"/>
  <c r="A211" i="1"/>
  <c r="A209" i="1"/>
  <c r="A207" i="1"/>
  <c r="A205" i="1"/>
  <c r="A203" i="1"/>
  <c r="A201" i="1"/>
  <c r="A199" i="1"/>
  <c r="A197" i="1"/>
  <c r="A195" i="1"/>
  <c r="A193" i="1"/>
  <c r="A178" i="1"/>
  <c r="A176" i="1"/>
  <c r="A174" i="1"/>
  <c r="A190" i="1"/>
  <c r="A182" i="1"/>
  <c r="A170" i="1"/>
  <c r="A165" i="1"/>
  <c r="A153" i="1"/>
  <c r="A151" i="1"/>
  <c r="A149" i="1"/>
  <c r="A147" i="1"/>
  <c r="A145" i="1"/>
  <c r="A143" i="1"/>
  <c r="A141" i="1"/>
  <c r="A126" i="1"/>
  <c r="A124" i="1"/>
  <c r="A122" i="1"/>
  <c r="A120" i="1"/>
  <c r="A118" i="1"/>
  <c r="A116" i="1"/>
  <c r="A114" i="1"/>
  <c r="A99" i="1"/>
  <c r="A97" i="1"/>
  <c r="A95" i="1"/>
  <c r="A93" i="1"/>
  <c r="A91" i="1"/>
  <c r="A89" i="1"/>
  <c r="A87" i="1"/>
  <c r="A72" i="1"/>
  <c r="A70" i="1"/>
  <c r="A68" i="1"/>
  <c r="A66" i="1"/>
  <c r="A64" i="1"/>
  <c r="A62" i="1"/>
  <c r="A60" i="1"/>
  <c r="A47" i="1"/>
  <c r="A45" i="1"/>
  <c r="A43" i="1"/>
  <c r="A41" i="1"/>
  <c r="A39" i="1"/>
  <c r="A37" i="1"/>
  <c r="A35" i="1"/>
  <c r="A33" i="1"/>
  <c r="A31" i="1"/>
  <c r="A29" i="1"/>
  <c r="A27" i="1"/>
  <c r="A25" i="1"/>
  <c r="A23" i="1"/>
  <c r="A21" i="1"/>
  <c r="A19" i="1"/>
  <c r="A17" i="1"/>
  <c r="A188" i="1"/>
  <c r="A180" i="1"/>
  <c r="A172" i="1"/>
  <c r="A162" i="1"/>
  <c r="A160" i="1"/>
  <c r="A158" i="1"/>
  <c r="A156" i="1"/>
  <c r="A154" i="1"/>
  <c r="A139" i="1"/>
  <c r="A137" i="1"/>
  <c r="A135" i="1"/>
  <c r="A133" i="1"/>
  <c r="A131" i="1"/>
  <c r="A129" i="1"/>
  <c r="A112" i="1"/>
  <c r="A110" i="1"/>
  <c r="A108" i="1"/>
  <c r="A106" i="1"/>
  <c r="A104" i="1"/>
  <c r="A102" i="1"/>
  <c r="A100" i="1"/>
  <c r="A85" i="1"/>
  <c r="A83" i="1"/>
  <c r="A81" i="1"/>
  <c r="A79" i="1"/>
  <c r="A77" i="1"/>
  <c r="A75" i="1"/>
  <c r="A58" i="1"/>
  <c r="A56" i="1"/>
  <c r="A54" i="1"/>
  <c r="A52" i="1"/>
  <c r="A50" i="1"/>
  <c r="A48" i="1"/>
  <c r="A186" i="1"/>
  <c r="A166" i="1"/>
  <c r="A164" i="1"/>
  <c r="A152" i="1"/>
  <c r="A150" i="1"/>
  <c r="A148" i="1"/>
  <c r="A146" i="1"/>
  <c r="A144" i="1"/>
  <c r="A142" i="1"/>
  <c r="A140" i="1"/>
  <c r="A127" i="1"/>
  <c r="A125" i="1"/>
  <c r="A123" i="1"/>
  <c r="A121" i="1"/>
  <c r="A119" i="1"/>
  <c r="A117" i="1"/>
  <c r="A115" i="1"/>
  <c r="A98" i="1"/>
  <c r="A96" i="1"/>
  <c r="A94" i="1"/>
  <c r="A92" i="1"/>
  <c r="A90" i="1"/>
  <c r="A88" i="1"/>
  <c r="A86" i="1"/>
  <c r="A73" i="1"/>
  <c r="A71" i="1"/>
  <c r="A69" i="1"/>
  <c r="A67" i="1"/>
  <c r="A65" i="1"/>
  <c r="A63" i="1"/>
  <c r="A61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84" i="1"/>
  <c r="A168" i="1"/>
  <c r="A163" i="1"/>
  <c r="A161" i="1"/>
  <c r="A159" i="1"/>
  <c r="A157" i="1"/>
  <c r="A155" i="1"/>
  <c r="A138" i="1"/>
  <c r="A136" i="1"/>
  <c r="A134" i="1"/>
  <c r="A132" i="1"/>
  <c r="A130" i="1"/>
  <c r="A128" i="1"/>
  <c r="A113" i="1"/>
  <c r="A111" i="1"/>
  <c r="A109" i="1"/>
  <c r="A107" i="1"/>
  <c r="A105" i="1"/>
  <c r="A103" i="1"/>
  <c r="A101" i="1"/>
  <c r="A84" i="1"/>
  <c r="A82" i="1"/>
  <c r="A80" i="1"/>
  <c r="A78" i="1"/>
  <c r="A76" i="1"/>
  <c r="A74" i="1"/>
  <c r="A59" i="1"/>
  <c r="A57" i="1"/>
  <c r="A55" i="1"/>
  <c r="A53" i="1"/>
  <c r="A51" i="1"/>
  <c r="A49" i="1"/>
  <c r="A13" i="1"/>
  <c r="A6" i="1"/>
  <c r="A7" i="1"/>
  <c r="A8" i="1"/>
  <c r="A10" i="1"/>
  <c r="M16" i="1"/>
  <c r="A4" i="1"/>
  <c r="A12" i="1"/>
  <c r="A14" i="1"/>
  <c r="A16" i="1"/>
  <c r="F5" i="1" l="1"/>
  <c r="F4" i="1"/>
  <c r="F6" i="1" l="1"/>
  <c r="F7" i="1" s="1"/>
  <c r="I5" i="1" s="1"/>
  <c r="I6" i="1" l="1"/>
  <c r="I7" i="1" s="1"/>
  <c r="B5" i="1"/>
  <c r="B14" i="1"/>
  <c r="B138" i="1"/>
  <c r="B90" i="1"/>
  <c r="B83" i="1"/>
  <c r="B35" i="1"/>
  <c r="B149" i="1"/>
  <c r="B237" i="1"/>
  <c r="B310" i="1"/>
  <c r="B177" i="1"/>
  <c r="B220" i="1"/>
  <c r="B252" i="1"/>
  <c r="B353" i="1"/>
  <c r="B313" i="1"/>
  <c r="B379" i="1"/>
  <c r="B399" i="1"/>
  <c r="B346" i="1"/>
  <c r="B410" i="1"/>
  <c r="B474" i="1"/>
  <c r="B155" i="1"/>
  <c r="B92" i="1"/>
  <c r="B85" i="1"/>
  <c r="B37" i="1"/>
  <c r="B151" i="1"/>
  <c r="B239" i="1"/>
  <c r="B314" i="1"/>
  <c r="B179" i="1"/>
  <c r="B222" i="1"/>
  <c r="B254" i="1"/>
  <c r="B369" i="1"/>
  <c r="B387" i="1"/>
  <c r="B407" i="1"/>
  <c r="B348" i="1"/>
  <c r="B412" i="1"/>
  <c r="B476" i="1"/>
  <c r="B6" i="1"/>
  <c r="B168" i="1"/>
  <c r="B117" i="1"/>
  <c r="B108" i="1"/>
  <c r="B47" i="1"/>
  <c r="B116" i="1"/>
  <c r="B190" i="1"/>
  <c r="B217" i="1"/>
  <c r="B249" i="1"/>
  <c r="B281" i="1"/>
  <c r="B345" i="1"/>
  <c r="B341" i="1"/>
  <c r="B200" i="1"/>
  <c r="B232" i="1"/>
  <c r="B264" i="1"/>
  <c r="B300" i="1"/>
  <c r="B183" i="1"/>
  <c r="B349" i="1"/>
  <c r="B427" i="1"/>
  <c r="B489" i="1"/>
  <c r="B447" i="1"/>
  <c r="B477" i="1"/>
  <c r="B358" i="1"/>
  <c r="B390" i="1"/>
  <c r="B422" i="1"/>
  <c r="B454" i="1"/>
  <c r="B486" i="1"/>
  <c r="B55" i="1"/>
  <c r="B128" i="1"/>
  <c r="B24" i="1"/>
  <c r="B69" i="1"/>
  <c r="B127" i="1"/>
  <c r="B58" i="1"/>
  <c r="B133" i="1"/>
  <c r="B25" i="1"/>
  <c r="B68" i="1"/>
  <c r="B126" i="1"/>
  <c r="B195" i="1"/>
  <c r="B227" i="1"/>
  <c r="B259" i="1"/>
  <c r="B291" i="1"/>
  <c r="B417" i="1"/>
  <c r="B167" i="1"/>
  <c r="B210" i="1"/>
  <c r="B242" i="1"/>
  <c r="B274" i="1"/>
  <c r="B293" i="1"/>
  <c r="B467" i="1"/>
  <c r="B487" i="1"/>
  <c r="B368" i="1"/>
  <c r="B432" i="1"/>
  <c r="B496" i="1"/>
  <c r="B282" i="1"/>
  <c r="B371" i="1"/>
  <c r="B421" i="1"/>
  <c r="B408" i="1"/>
  <c r="B472" i="1"/>
  <c r="B332" i="1"/>
  <c r="B406" i="1"/>
  <c r="B470" i="1"/>
  <c r="B159" i="1"/>
  <c r="B164" i="1"/>
  <c r="B97" i="1"/>
  <c r="B275" i="1"/>
  <c r="B194" i="1"/>
  <c r="B401" i="1"/>
  <c r="B423" i="1"/>
  <c r="B416" i="1"/>
  <c r="B13" i="1"/>
  <c r="B8" i="1"/>
  <c r="B101" i="1"/>
  <c r="B161" i="1"/>
  <c r="B42" i="1"/>
  <c r="B98" i="1"/>
  <c r="B166" i="1"/>
  <c r="B104" i="1"/>
  <c r="B172" i="1"/>
  <c r="B43" i="1"/>
  <c r="B99" i="1"/>
  <c r="B170" i="1"/>
  <c r="B213" i="1"/>
  <c r="B245" i="1"/>
  <c r="B277" i="1"/>
  <c r="B326" i="1"/>
  <c r="B327" i="1"/>
  <c r="B196" i="1"/>
  <c r="B228" i="1"/>
  <c r="B260" i="1"/>
  <c r="B292" i="1"/>
  <c r="B433" i="1"/>
  <c r="B329" i="1"/>
  <c r="B411" i="1"/>
  <c r="B473" i="1"/>
  <c r="B431" i="1"/>
  <c r="B461" i="1"/>
  <c r="B354" i="1"/>
  <c r="B386" i="1"/>
  <c r="B418" i="1"/>
  <c r="B450" i="1"/>
  <c r="B482" i="1"/>
  <c r="B103" i="1"/>
  <c r="B163" i="1"/>
  <c r="B44" i="1"/>
  <c r="B115" i="1"/>
  <c r="B186" i="1"/>
  <c r="B106" i="1"/>
  <c r="B180" i="1"/>
  <c r="B45" i="1"/>
  <c r="B114" i="1"/>
  <c r="B182" i="1"/>
  <c r="B215" i="1"/>
  <c r="B247" i="1"/>
  <c r="B279" i="1"/>
  <c r="B330" i="1"/>
  <c r="B331" i="1"/>
  <c r="B198" i="1"/>
  <c r="B230" i="1"/>
  <c r="B262" i="1"/>
  <c r="B296" i="1"/>
  <c r="B181" i="1"/>
  <c r="B333" i="1"/>
  <c r="B419" i="1"/>
  <c r="B481" i="1"/>
  <c r="B439" i="1"/>
  <c r="B469" i="1"/>
  <c r="B356" i="1"/>
  <c r="B388" i="1"/>
  <c r="B420" i="1"/>
  <c r="B452" i="1"/>
  <c r="B484" i="1"/>
  <c r="B59" i="1"/>
  <c r="B53" i="1"/>
  <c r="B113" i="1"/>
  <c r="B22" i="1"/>
  <c r="B67" i="1"/>
  <c r="B125" i="1"/>
  <c r="B56" i="1"/>
  <c r="B131" i="1"/>
  <c r="B23" i="1"/>
  <c r="B66" i="1"/>
  <c r="B124" i="1"/>
  <c r="B193" i="1"/>
  <c r="B225" i="1"/>
  <c r="B257" i="1"/>
  <c r="B289" i="1"/>
  <c r="B409" i="1"/>
  <c r="B405" i="1"/>
  <c r="B208" i="1"/>
  <c r="B240" i="1"/>
  <c r="B272" i="1"/>
  <c r="B316" i="1"/>
  <c r="B191" i="1"/>
  <c r="B425" i="1"/>
  <c r="B459" i="1"/>
  <c r="B351" i="1"/>
  <c r="B479" i="1"/>
  <c r="B334" i="1"/>
  <c r="B366" i="1"/>
  <c r="B398" i="1"/>
  <c r="B430" i="1"/>
  <c r="B462" i="1"/>
  <c r="B494" i="1"/>
  <c r="B76" i="1"/>
  <c r="B136" i="1"/>
  <c r="B32" i="1"/>
  <c r="B88" i="1"/>
  <c r="B146" i="1"/>
  <c r="B81" i="1"/>
  <c r="B154" i="1"/>
  <c r="B33" i="1"/>
  <c r="B89" i="1"/>
  <c r="B147" i="1"/>
  <c r="B203" i="1"/>
  <c r="B235" i="1"/>
  <c r="B267" i="1"/>
  <c r="B306" i="1"/>
  <c r="B307" i="1"/>
  <c r="B175" i="1"/>
  <c r="B218" i="1"/>
  <c r="B337" i="1"/>
  <c r="B499" i="1"/>
  <c r="B344" i="1"/>
  <c r="B440" i="1"/>
  <c r="B305" i="1"/>
  <c r="B342" i="1"/>
  <c r="B502" i="1"/>
  <c r="B40" i="1"/>
  <c r="B41" i="1"/>
  <c r="B243" i="1"/>
  <c r="B226" i="1"/>
  <c r="B325" i="1"/>
  <c r="B453" i="1"/>
  <c r="B480" i="1"/>
  <c r="B16" i="1"/>
  <c r="B49" i="1"/>
  <c r="B109" i="1"/>
  <c r="B18" i="1"/>
  <c r="B63" i="1"/>
  <c r="B121" i="1"/>
  <c r="B52" i="1"/>
  <c r="B112" i="1"/>
  <c r="B19" i="1"/>
  <c r="B62" i="1"/>
  <c r="B120" i="1"/>
  <c r="B176" i="1"/>
  <c r="B221" i="1"/>
  <c r="B253" i="1"/>
  <c r="B285" i="1"/>
  <c r="B377" i="1"/>
  <c r="B373" i="1"/>
  <c r="B204" i="1"/>
  <c r="B236" i="1"/>
  <c r="B268" i="1"/>
  <c r="B308" i="1"/>
  <c r="B187" i="1"/>
  <c r="B381" i="1"/>
  <c r="B443" i="1"/>
  <c r="B335" i="1"/>
  <c r="B463" i="1"/>
  <c r="B493" i="1"/>
  <c r="B362" i="1"/>
  <c r="B394" i="1"/>
  <c r="B426" i="1"/>
  <c r="B458" i="1"/>
  <c r="B490" i="1"/>
  <c r="B7" i="1"/>
  <c r="B111" i="1"/>
  <c r="B20" i="1"/>
  <c r="B65" i="1"/>
  <c r="B123" i="1"/>
  <c r="B54" i="1"/>
  <c r="B129" i="1"/>
  <c r="B21" i="1"/>
  <c r="B64" i="1"/>
  <c r="B122" i="1"/>
  <c r="B178" i="1"/>
  <c r="B223" i="1"/>
  <c r="B255" i="1"/>
  <c r="B287" i="1"/>
  <c r="B393" i="1"/>
  <c r="B389" i="1"/>
  <c r="B206" i="1"/>
  <c r="B238" i="1"/>
  <c r="B270" i="1"/>
  <c r="B312" i="1"/>
  <c r="B189" i="1"/>
  <c r="B397" i="1"/>
  <c r="B451" i="1"/>
  <c r="B343" i="1"/>
  <c r="B471" i="1"/>
  <c r="B501" i="1"/>
  <c r="B364" i="1"/>
  <c r="B396" i="1"/>
  <c r="B428" i="1"/>
  <c r="B460" i="1"/>
  <c r="B492" i="1"/>
  <c r="B74" i="1"/>
  <c r="B134" i="1"/>
  <c r="B30" i="1"/>
  <c r="B86" i="1"/>
  <c r="B144" i="1"/>
  <c r="B79" i="1"/>
  <c r="B139" i="1"/>
  <c r="B31" i="1"/>
  <c r="B87" i="1"/>
  <c r="B145" i="1"/>
  <c r="B201" i="1"/>
  <c r="B233" i="1"/>
  <c r="B265" i="1"/>
  <c r="B302" i="1"/>
  <c r="B303" i="1"/>
  <c r="B173" i="1"/>
  <c r="B216" i="1"/>
  <c r="B248" i="1"/>
  <c r="B363" i="1"/>
  <c r="B491" i="1"/>
  <c r="B383" i="1"/>
  <c r="B413" i="1"/>
  <c r="B438" i="1"/>
  <c r="B84" i="1"/>
  <c r="B96" i="1"/>
  <c r="B162" i="1"/>
  <c r="B211" i="1"/>
  <c r="B323" i="1"/>
  <c r="B290" i="1"/>
  <c r="B465" i="1"/>
  <c r="B384" i="1"/>
  <c r="B12" i="1"/>
  <c r="B57" i="1"/>
  <c r="B130" i="1"/>
  <c r="B26" i="1"/>
  <c r="B71" i="1"/>
  <c r="B140" i="1"/>
  <c r="B75" i="1"/>
  <c r="B135" i="1"/>
  <c r="B27" i="1"/>
  <c r="B70" i="1"/>
  <c r="B141" i="1"/>
  <c r="B197" i="1"/>
  <c r="B229" i="1"/>
  <c r="B261" i="1"/>
  <c r="B294" i="1"/>
  <c r="B295" i="1"/>
  <c r="B169" i="1"/>
  <c r="B212" i="1"/>
  <c r="B244" i="1"/>
  <c r="B276" i="1"/>
  <c r="B324" i="1"/>
  <c r="B297" i="1"/>
  <c r="B347" i="1"/>
  <c r="B475" i="1"/>
  <c r="B367" i="1"/>
  <c r="B495" i="1"/>
  <c r="B338" i="1"/>
  <c r="B370" i="1"/>
  <c r="B402" i="1"/>
  <c r="B434" i="1"/>
  <c r="B466" i="1"/>
  <c r="B498" i="1"/>
  <c r="B51" i="1"/>
  <c r="B132" i="1"/>
  <c r="B28" i="1"/>
  <c r="B73" i="1"/>
  <c r="B142" i="1"/>
  <c r="B77" i="1"/>
  <c r="B137" i="1"/>
  <c r="B29" i="1"/>
  <c r="B72" i="1"/>
  <c r="B143" i="1"/>
  <c r="B199" i="1"/>
  <c r="B231" i="1"/>
  <c r="B263" i="1"/>
  <c r="B298" i="1"/>
  <c r="B299" i="1"/>
  <c r="B171" i="1"/>
  <c r="B214" i="1"/>
  <c r="B246" i="1"/>
  <c r="B278" i="1"/>
  <c r="B328" i="1"/>
  <c r="B301" i="1"/>
  <c r="B355" i="1"/>
  <c r="B483" i="1"/>
  <c r="B375" i="1"/>
  <c r="B503" i="1"/>
  <c r="B340" i="1"/>
  <c r="B372" i="1"/>
  <c r="B404" i="1"/>
  <c r="B436" i="1"/>
  <c r="B468" i="1"/>
  <c r="B500" i="1"/>
  <c r="B4" i="1"/>
  <c r="B82" i="1"/>
  <c r="B157" i="1"/>
  <c r="B38" i="1"/>
  <c r="B94" i="1"/>
  <c r="B152" i="1"/>
  <c r="B100" i="1"/>
  <c r="B160" i="1"/>
  <c r="B39" i="1"/>
  <c r="B95" i="1"/>
  <c r="B153" i="1"/>
  <c r="B209" i="1"/>
  <c r="B241" i="1"/>
  <c r="B273" i="1"/>
  <c r="B318" i="1"/>
  <c r="B319" i="1"/>
  <c r="B192" i="1"/>
  <c r="B224" i="1"/>
  <c r="B256" i="1"/>
  <c r="B288" i="1"/>
  <c r="B385" i="1"/>
  <c r="B321" i="1"/>
  <c r="B395" i="1"/>
  <c r="B457" i="1"/>
  <c r="B415" i="1"/>
  <c r="B445" i="1"/>
  <c r="B350" i="1"/>
  <c r="B382" i="1"/>
  <c r="B414" i="1"/>
  <c r="B446" i="1"/>
  <c r="B478" i="1"/>
  <c r="B11" i="1"/>
  <c r="B10" i="1"/>
  <c r="B107" i="1"/>
  <c r="B184" i="1"/>
  <c r="B61" i="1"/>
  <c r="B119" i="1"/>
  <c r="B50" i="1"/>
  <c r="B110" i="1"/>
  <c r="B17" i="1"/>
  <c r="B60" i="1"/>
  <c r="B118" i="1"/>
  <c r="B174" i="1"/>
  <c r="B219" i="1"/>
  <c r="B251" i="1"/>
  <c r="B283" i="1"/>
  <c r="B361" i="1"/>
  <c r="B357" i="1"/>
  <c r="B202" i="1"/>
  <c r="B234" i="1"/>
  <c r="B266" i="1"/>
  <c r="B304" i="1"/>
  <c r="B185" i="1"/>
  <c r="B365" i="1"/>
  <c r="B435" i="1"/>
  <c r="B497" i="1"/>
  <c r="B455" i="1"/>
  <c r="B485" i="1"/>
  <c r="B360" i="1"/>
  <c r="B392" i="1"/>
  <c r="B424" i="1"/>
  <c r="B456" i="1"/>
  <c r="B488" i="1"/>
  <c r="B320" i="1"/>
  <c r="B339" i="1"/>
  <c r="B359" i="1"/>
  <c r="B336" i="1"/>
  <c r="B400" i="1"/>
  <c r="B464" i="1"/>
  <c r="B250" i="1"/>
  <c r="B309" i="1"/>
  <c r="B391" i="1"/>
  <c r="B376" i="1"/>
  <c r="B9" i="1"/>
  <c r="B280" i="1"/>
  <c r="B374" i="1"/>
  <c r="B102" i="1"/>
  <c r="B165" i="1"/>
  <c r="B322" i="1"/>
  <c r="B258" i="1"/>
  <c r="B403" i="1"/>
  <c r="B352" i="1"/>
  <c r="B448" i="1"/>
  <c r="B188" i="1" l="1"/>
  <c r="B46" i="1"/>
  <c r="B15" i="1"/>
  <c r="B380" i="1"/>
  <c r="B449" i="1"/>
  <c r="B286" i="1"/>
  <c r="B315" i="1"/>
  <c r="B207" i="1"/>
  <c r="B158" i="1"/>
  <c r="B36" i="1"/>
  <c r="B442" i="1"/>
  <c r="B429" i="1"/>
  <c r="B269" i="1"/>
  <c r="B91" i="1"/>
  <c r="B148" i="1"/>
  <c r="B78" i="1"/>
  <c r="B48" i="1"/>
  <c r="B105" i="1"/>
  <c r="B444" i="1"/>
  <c r="B437" i="1"/>
  <c r="B317" i="1"/>
  <c r="B271" i="1"/>
  <c r="B93" i="1"/>
  <c r="B150" i="1"/>
  <c r="B80" i="1"/>
  <c r="B378" i="1"/>
  <c r="B441" i="1"/>
  <c r="B284" i="1"/>
  <c r="B311" i="1"/>
  <c r="B205" i="1"/>
  <c r="B156" i="1"/>
  <c r="B34" i="1"/>
</calcChain>
</file>

<file path=xl/sharedStrings.xml><?xml version="1.0" encoding="utf-8"?>
<sst xmlns="http://schemas.openxmlformats.org/spreadsheetml/2006/main" count="527" uniqueCount="31">
  <si>
    <t>VARIABLE CUANTITATIVA</t>
  </si>
  <si>
    <t>VARIABLE CUALITATIVA</t>
  </si>
  <si>
    <t>Escoger Variable →</t>
  </si>
  <si>
    <t>Horas de Experiencia Laboral</t>
  </si>
  <si>
    <t>NIVELES</t>
  </si>
  <si>
    <t>Programa Academico</t>
  </si>
  <si>
    <t>ADMINISTRACIÓN DE EMPRESAS</t>
  </si>
  <si>
    <t>MÍNIMO</t>
  </si>
  <si>
    <t>INGENIERÍA EN ENERGÍAS</t>
  </si>
  <si>
    <t>MÁXIMO</t>
  </si>
  <si>
    <t xml:space="preserve">BAJO </t>
  </si>
  <si>
    <t>CONTADURÍA PÚBLICA</t>
  </si>
  <si>
    <t>RANGO</t>
  </si>
  <si>
    <t xml:space="preserve">MEDIO </t>
  </si>
  <si>
    <t>INGENIERÍA INDUSTRIAL</t>
  </si>
  <si>
    <t>RANGO/3</t>
  </si>
  <si>
    <t>ALTO</t>
  </si>
  <si>
    <t>TECNOLOGÍA EN LOGÍSTICA INDUSTRIAL</t>
  </si>
  <si>
    <t>MARKETING Y NEGOCIOS DIGITALES</t>
  </si>
  <si>
    <t>SEGURIDAD Y SALUD EN EL TRABAJO</t>
  </si>
  <si>
    <t xml:space="preserve">TABLA </t>
  </si>
  <si>
    <t>Administración</t>
  </si>
  <si>
    <t>Contaduría</t>
  </si>
  <si>
    <t>Ing. Energías</t>
  </si>
  <si>
    <t>Ing. Industrial</t>
  </si>
  <si>
    <t>Marketing y negocios</t>
  </si>
  <si>
    <t>Seguridad y Salud</t>
  </si>
  <si>
    <t>Tec. Logis, Ind</t>
  </si>
  <si>
    <t>TOTAL</t>
  </si>
  <si>
    <t>BAJO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</si>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</sst>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3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rgb="FFCC99FF"/>
        <bgColor rgb="FFF4B083"/>
      </patternFill>
    </fill>
    <fill>
      <patternFill patternType="solid">
        <fgColor rgb="FFCC99FF"/>
        <bgColor rgb="FF9CC2E5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rgb="FF9CC2E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6" tint="0.79998168889431442"/>
        <bgColor theme="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rgb="FF00B0F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2F3"/>
      </patternFill>
    </fill>
  </fills>
  <borders count="1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3" xfId="0" applyFont="1" applyBorder="1"/>
    <xf numFmtId="0" fontId="1" fillId="0" borderId="4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1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8" fillId="0" borderId="10" xfId="0" applyFont="1" applyBorder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" fontId="1" fillId="0" borderId="7" xfId="0" applyNumberFormat="1" applyFont="1" applyBorder="1"/>
    <xf numFmtId="0" fontId="8" fillId="0" borderId="0" xfId="0" applyFont="1" applyAlignment="1">
      <alignment horizontal="center"/>
    </xf>
    <xf numFmtId="0" fontId="1" fillId="0" borderId="11" xfId="0" applyFont="1" applyBorder="1"/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vertical="center"/>
    </xf>
    <xf numFmtId="0" fontId="3" fillId="9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 wrapText="1"/>
    </xf>
    <xf numFmtId="0" fontId="8" fillId="0" borderId="0" xfId="0" applyFont="1" applyFill="1" applyBorder="1" applyAlignment="1"/>
    <xf numFmtId="0" fontId="3" fillId="7" borderId="8" xfId="0" applyFont="1" applyFill="1" applyBorder="1" applyAlignment="1">
      <alignment horizontal="center" vertical="center"/>
    </xf>
    <xf numFmtId="0" fontId="9" fillId="8" borderId="9" xfId="0" applyFont="1" applyFill="1" applyBorder="1"/>
    <xf numFmtId="0" fontId="3" fillId="9" borderId="0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9E2F3"/>
          <bgColor rgb="FFD9E2F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EJERCICIO 2-style" pivot="0" count="3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615043</xdr:colOff>
      <xdr:row>0</xdr:row>
      <xdr:rowOff>1</xdr:rowOff>
    </xdr:from>
    <xdr:ext cx="2197099" cy="907142"/>
    <xdr:pic>
      <xdr:nvPicPr>
        <xdr:cNvPr id="2" name="image3.png">
          <a:extLst>
            <a:ext uri="{FF2B5EF4-FFF2-40B4-BE49-F238E27FC236}">
              <a16:creationId xmlns:a16="http://schemas.microsoft.com/office/drawing/2014/main" xmlns="" id="{00000000-0008-0000-04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78368" y="1"/>
          <a:ext cx="2197099" cy="907142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adistica/FASE%203_Resoluci&#243;n%20de%20problemas%20probabil&#237;sticos_Plantilla%201604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Situación y caracterización"/>
      <sheetName val="Base de datos "/>
      <sheetName val="Hoja 1"/>
      <sheetName val="EJERCICIO 1"/>
      <sheetName val="EJERCICIO 2"/>
      <sheetName val="EJERCICIO 3"/>
      <sheetName val="VÍDEO"/>
      <sheetName val="CONFERENCIA WEB"/>
      <sheetName val="BIBLIOGRAFÍA"/>
    </sheetNames>
    <sheetDataSet>
      <sheetData sheetId="0" refreshError="1"/>
      <sheetData sheetId="1" refreshError="1"/>
      <sheetData sheetId="2">
        <row r="2">
          <cell r="C2">
            <v>492</v>
          </cell>
          <cell r="D2">
            <v>48</v>
          </cell>
          <cell r="E2">
            <v>3</v>
          </cell>
          <cell r="F2">
            <v>3.82</v>
          </cell>
          <cell r="G2">
            <v>2498247</v>
          </cell>
        </row>
        <row r="3">
          <cell r="C3">
            <v>252</v>
          </cell>
          <cell r="D3">
            <v>63</v>
          </cell>
          <cell r="E3">
            <v>1</v>
          </cell>
          <cell r="F3">
            <v>4.09</v>
          </cell>
          <cell r="G3">
            <v>3216335</v>
          </cell>
        </row>
        <row r="4">
          <cell r="C4">
            <v>678</v>
          </cell>
          <cell r="D4">
            <v>54</v>
          </cell>
          <cell r="E4">
            <v>4</v>
          </cell>
          <cell r="F4">
            <v>4.08</v>
          </cell>
          <cell r="G4">
            <v>3523080</v>
          </cell>
        </row>
        <row r="5">
          <cell r="C5">
            <v>597</v>
          </cell>
          <cell r="D5">
            <v>72</v>
          </cell>
          <cell r="E5">
            <v>4</v>
          </cell>
          <cell r="F5">
            <v>4.28</v>
          </cell>
          <cell r="G5">
            <v>4132168</v>
          </cell>
          <cell r="K5" t="str">
            <v>Horas de Experiencia Laboral</v>
          </cell>
        </row>
        <row r="6">
          <cell r="C6">
            <v>962</v>
          </cell>
          <cell r="D6">
            <v>66</v>
          </cell>
          <cell r="E6">
            <v>4</v>
          </cell>
          <cell r="F6">
            <v>4.04</v>
          </cell>
          <cell r="G6">
            <v>4250936</v>
          </cell>
          <cell r="K6" t="str">
            <v>Nivel de Ingles</v>
          </cell>
        </row>
        <row r="7">
          <cell r="C7">
            <v>675</v>
          </cell>
          <cell r="D7">
            <v>83</v>
          </cell>
          <cell r="E7">
            <v>4</v>
          </cell>
          <cell r="F7">
            <v>4.1500000000000004</v>
          </cell>
          <cell r="G7">
            <v>3764948</v>
          </cell>
          <cell r="K7" t="str">
            <v>Numero de Certificaciones</v>
          </cell>
        </row>
        <row r="8">
          <cell r="C8">
            <v>393</v>
          </cell>
          <cell r="D8">
            <v>60</v>
          </cell>
          <cell r="E8">
            <v>0</v>
          </cell>
          <cell r="F8">
            <v>3.51</v>
          </cell>
          <cell r="G8">
            <v>2790120</v>
          </cell>
          <cell r="K8" t="str">
            <v>Promedio academico</v>
          </cell>
        </row>
        <row r="9">
          <cell r="C9">
            <v>201</v>
          </cell>
          <cell r="D9">
            <v>44</v>
          </cell>
          <cell r="E9">
            <v>0</v>
          </cell>
          <cell r="F9">
            <v>3.45</v>
          </cell>
          <cell r="G9">
            <v>2342779</v>
          </cell>
          <cell r="K9" t="str">
            <v>Salario Esperado</v>
          </cell>
        </row>
        <row r="10">
          <cell r="C10">
            <v>753</v>
          </cell>
          <cell r="D10">
            <v>80</v>
          </cell>
          <cell r="E10">
            <v>3</v>
          </cell>
          <cell r="F10">
            <v>3.62</v>
          </cell>
          <cell r="G10">
            <v>4319700</v>
          </cell>
        </row>
        <row r="11">
          <cell r="C11">
            <v>521</v>
          </cell>
          <cell r="D11">
            <v>57</v>
          </cell>
          <cell r="E11">
            <v>3</v>
          </cell>
          <cell r="F11">
            <v>3.54</v>
          </cell>
          <cell r="G11">
            <v>3187261</v>
          </cell>
        </row>
        <row r="12">
          <cell r="C12">
            <v>582</v>
          </cell>
          <cell r="D12">
            <v>46</v>
          </cell>
          <cell r="E12">
            <v>4</v>
          </cell>
          <cell r="F12">
            <v>4.08</v>
          </cell>
          <cell r="G12">
            <v>3429539</v>
          </cell>
        </row>
        <row r="13">
          <cell r="C13">
            <v>448</v>
          </cell>
          <cell r="D13">
            <v>50</v>
          </cell>
          <cell r="E13">
            <v>2</v>
          </cell>
          <cell r="F13">
            <v>3.81</v>
          </cell>
          <cell r="G13">
            <v>2794820</v>
          </cell>
        </row>
        <row r="14">
          <cell r="C14">
            <v>100</v>
          </cell>
          <cell r="D14">
            <v>29</v>
          </cell>
          <cell r="E14">
            <v>1</v>
          </cell>
          <cell r="F14">
            <v>3.43</v>
          </cell>
          <cell r="G14">
            <v>2101584</v>
          </cell>
        </row>
        <row r="15">
          <cell r="C15">
            <v>827</v>
          </cell>
          <cell r="D15">
            <v>52</v>
          </cell>
          <cell r="E15">
            <v>4</v>
          </cell>
          <cell r="F15">
            <v>3.82</v>
          </cell>
          <cell r="G15">
            <v>3827207</v>
          </cell>
        </row>
        <row r="16">
          <cell r="C16">
            <v>721</v>
          </cell>
          <cell r="D16">
            <v>71</v>
          </cell>
          <cell r="E16">
            <v>3</v>
          </cell>
          <cell r="F16">
            <v>3.67</v>
          </cell>
          <cell r="G16">
            <v>3701064</v>
          </cell>
        </row>
        <row r="17">
          <cell r="C17">
            <v>655</v>
          </cell>
          <cell r="D17">
            <v>62</v>
          </cell>
          <cell r="E17">
            <v>0</v>
          </cell>
          <cell r="F17">
            <v>3.87</v>
          </cell>
          <cell r="G17">
            <v>3479510</v>
          </cell>
        </row>
        <row r="18">
          <cell r="C18">
            <v>766</v>
          </cell>
          <cell r="D18">
            <v>55</v>
          </cell>
          <cell r="E18">
            <v>4</v>
          </cell>
          <cell r="F18">
            <v>3.92</v>
          </cell>
          <cell r="G18">
            <v>3516301</v>
          </cell>
        </row>
        <row r="19">
          <cell r="C19">
            <v>289</v>
          </cell>
          <cell r="D19">
            <v>54</v>
          </cell>
          <cell r="E19">
            <v>0</v>
          </cell>
          <cell r="F19">
            <v>3.56</v>
          </cell>
          <cell r="G19">
            <v>3282278</v>
          </cell>
        </row>
        <row r="20">
          <cell r="C20">
            <v>1092</v>
          </cell>
          <cell r="D20">
            <v>65</v>
          </cell>
          <cell r="E20">
            <v>4</v>
          </cell>
          <cell r="F20">
            <v>3.59</v>
          </cell>
          <cell r="G20">
            <v>4332030</v>
          </cell>
        </row>
        <row r="21">
          <cell r="C21">
            <v>520</v>
          </cell>
          <cell r="D21">
            <v>58</v>
          </cell>
          <cell r="E21">
            <v>5</v>
          </cell>
          <cell r="F21">
            <v>3.83</v>
          </cell>
          <cell r="G21">
            <v>3199046</v>
          </cell>
        </row>
        <row r="22">
          <cell r="C22">
            <v>690</v>
          </cell>
          <cell r="D22">
            <v>63</v>
          </cell>
          <cell r="E22">
            <v>2</v>
          </cell>
          <cell r="F22">
            <v>4.1500000000000004</v>
          </cell>
          <cell r="G22">
            <v>3275625</v>
          </cell>
        </row>
        <row r="23">
          <cell r="C23">
            <v>787</v>
          </cell>
          <cell r="D23">
            <v>73</v>
          </cell>
          <cell r="E23">
            <v>4</v>
          </cell>
          <cell r="F23">
            <v>4.07</v>
          </cell>
          <cell r="G23">
            <v>4245158</v>
          </cell>
        </row>
        <row r="24">
          <cell r="C24">
            <v>0</v>
          </cell>
          <cell r="D24">
            <v>20</v>
          </cell>
          <cell r="E24">
            <v>0</v>
          </cell>
          <cell r="F24">
            <v>3.36</v>
          </cell>
          <cell r="G24">
            <v>1643643</v>
          </cell>
        </row>
        <row r="25">
          <cell r="C25">
            <v>1019</v>
          </cell>
          <cell r="D25">
            <v>76</v>
          </cell>
          <cell r="E25">
            <v>4</v>
          </cell>
          <cell r="F25">
            <v>4.0599999999999996</v>
          </cell>
          <cell r="G25">
            <v>4277267</v>
          </cell>
        </row>
        <row r="26">
          <cell r="C26">
            <v>614</v>
          </cell>
          <cell r="D26">
            <v>73</v>
          </cell>
          <cell r="E26">
            <v>3</v>
          </cell>
          <cell r="F26">
            <v>3.55</v>
          </cell>
          <cell r="G26">
            <v>3648194</v>
          </cell>
        </row>
        <row r="27">
          <cell r="C27">
            <v>175</v>
          </cell>
          <cell r="D27">
            <v>59</v>
          </cell>
          <cell r="E27">
            <v>3</v>
          </cell>
          <cell r="F27">
            <v>3.56</v>
          </cell>
          <cell r="G27">
            <v>3206847</v>
          </cell>
        </row>
        <row r="28">
          <cell r="C28">
            <v>510</v>
          </cell>
          <cell r="D28">
            <v>64</v>
          </cell>
          <cell r="E28">
            <v>3</v>
          </cell>
          <cell r="F28">
            <v>3.83</v>
          </cell>
          <cell r="G28">
            <v>3253001</v>
          </cell>
        </row>
        <row r="29">
          <cell r="C29">
            <v>1282</v>
          </cell>
          <cell r="D29">
            <v>79</v>
          </cell>
          <cell r="E29">
            <v>5</v>
          </cell>
          <cell r="F29">
            <v>4.22</v>
          </cell>
          <cell r="G29">
            <v>4755119</v>
          </cell>
        </row>
        <row r="30">
          <cell r="C30">
            <v>540</v>
          </cell>
          <cell r="D30">
            <v>55</v>
          </cell>
          <cell r="E30">
            <v>0</v>
          </cell>
          <cell r="F30">
            <v>3.52</v>
          </cell>
          <cell r="G30">
            <v>3033071</v>
          </cell>
        </row>
        <row r="31">
          <cell r="C31">
            <v>244</v>
          </cell>
          <cell r="D31">
            <v>28</v>
          </cell>
          <cell r="E31">
            <v>2</v>
          </cell>
          <cell r="F31">
            <v>3.57</v>
          </cell>
          <cell r="G31">
            <v>1776274</v>
          </cell>
        </row>
        <row r="32">
          <cell r="C32">
            <v>559</v>
          </cell>
          <cell r="D32">
            <v>49</v>
          </cell>
          <cell r="E32">
            <v>1</v>
          </cell>
          <cell r="F32">
            <v>3.8</v>
          </cell>
          <cell r="G32">
            <v>2766462</v>
          </cell>
        </row>
        <row r="33">
          <cell r="C33">
            <v>696</v>
          </cell>
          <cell r="D33">
            <v>58</v>
          </cell>
          <cell r="E33">
            <v>4</v>
          </cell>
          <cell r="F33">
            <v>3.65</v>
          </cell>
          <cell r="G33">
            <v>3662016</v>
          </cell>
        </row>
        <row r="34">
          <cell r="C34">
            <v>445</v>
          </cell>
          <cell r="D34">
            <v>39</v>
          </cell>
          <cell r="E34">
            <v>2</v>
          </cell>
          <cell r="F34">
            <v>3.61</v>
          </cell>
          <cell r="G34">
            <v>2519304</v>
          </cell>
        </row>
        <row r="35">
          <cell r="C35">
            <v>449</v>
          </cell>
          <cell r="D35">
            <v>35</v>
          </cell>
          <cell r="E35">
            <v>4</v>
          </cell>
          <cell r="F35">
            <v>3.04</v>
          </cell>
          <cell r="G35">
            <v>3592049</v>
          </cell>
        </row>
        <row r="36">
          <cell r="C36">
            <v>895</v>
          </cell>
          <cell r="D36">
            <v>60</v>
          </cell>
          <cell r="E36">
            <v>2</v>
          </cell>
          <cell r="F36">
            <v>3.76</v>
          </cell>
          <cell r="G36">
            <v>3609626</v>
          </cell>
        </row>
        <row r="37">
          <cell r="C37">
            <v>808</v>
          </cell>
          <cell r="D37">
            <v>48</v>
          </cell>
          <cell r="E37">
            <v>3</v>
          </cell>
          <cell r="F37">
            <v>3.63</v>
          </cell>
          <cell r="G37">
            <v>3114219</v>
          </cell>
        </row>
        <row r="38">
          <cell r="C38">
            <v>599</v>
          </cell>
          <cell r="D38">
            <v>56</v>
          </cell>
          <cell r="E38">
            <v>5</v>
          </cell>
          <cell r="F38">
            <v>3.73</v>
          </cell>
          <cell r="G38">
            <v>3671804</v>
          </cell>
        </row>
        <row r="39">
          <cell r="C39">
            <v>583</v>
          </cell>
          <cell r="D39">
            <v>41</v>
          </cell>
          <cell r="E39">
            <v>3</v>
          </cell>
          <cell r="F39">
            <v>3.42</v>
          </cell>
          <cell r="G39">
            <v>3061992</v>
          </cell>
        </row>
        <row r="40">
          <cell r="C40">
            <v>637</v>
          </cell>
          <cell r="D40">
            <v>62</v>
          </cell>
          <cell r="E40">
            <v>2</v>
          </cell>
          <cell r="F40">
            <v>3.75</v>
          </cell>
          <cell r="G40">
            <v>3189661</v>
          </cell>
        </row>
        <row r="41">
          <cell r="C41">
            <v>492</v>
          </cell>
          <cell r="D41">
            <v>48</v>
          </cell>
          <cell r="E41">
            <v>2</v>
          </cell>
          <cell r="F41">
            <v>3.42</v>
          </cell>
          <cell r="G41">
            <v>3089745</v>
          </cell>
        </row>
        <row r="42">
          <cell r="C42">
            <v>597</v>
          </cell>
          <cell r="D42">
            <v>49</v>
          </cell>
          <cell r="E42">
            <v>3</v>
          </cell>
          <cell r="F42">
            <v>3.58</v>
          </cell>
          <cell r="G42">
            <v>3481605</v>
          </cell>
        </row>
        <row r="43">
          <cell r="C43">
            <v>634</v>
          </cell>
          <cell r="D43">
            <v>56</v>
          </cell>
          <cell r="E43">
            <v>5</v>
          </cell>
          <cell r="F43">
            <v>3.52</v>
          </cell>
          <cell r="G43">
            <v>3702135</v>
          </cell>
        </row>
        <row r="44">
          <cell r="C44">
            <v>969</v>
          </cell>
          <cell r="D44">
            <v>64</v>
          </cell>
          <cell r="E44">
            <v>3</v>
          </cell>
          <cell r="F44">
            <v>3.93</v>
          </cell>
          <cell r="G44">
            <v>4175798</v>
          </cell>
        </row>
        <row r="45">
          <cell r="C45">
            <v>308</v>
          </cell>
          <cell r="D45">
            <v>51</v>
          </cell>
          <cell r="E45">
            <v>3</v>
          </cell>
          <cell r="F45">
            <v>3.28</v>
          </cell>
          <cell r="G45">
            <v>3561906</v>
          </cell>
        </row>
        <row r="46">
          <cell r="C46">
            <v>835</v>
          </cell>
          <cell r="D46">
            <v>63</v>
          </cell>
          <cell r="E46">
            <v>4</v>
          </cell>
          <cell r="F46">
            <v>3.51</v>
          </cell>
          <cell r="G46">
            <v>4031701</v>
          </cell>
        </row>
        <row r="47">
          <cell r="C47">
            <v>1018</v>
          </cell>
          <cell r="D47">
            <v>69</v>
          </cell>
          <cell r="E47">
            <v>4</v>
          </cell>
          <cell r="F47">
            <v>4.3600000000000003</v>
          </cell>
          <cell r="G47">
            <v>4227953</v>
          </cell>
        </row>
        <row r="48">
          <cell r="C48">
            <v>386</v>
          </cell>
          <cell r="D48">
            <v>46</v>
          </cell>
          <cell r="E48">
            <v>3</v>
          </cell>
          <cell r="F48">
            <v>3.75</v>
          </cell>
          <cell r="G48">
            <v>2998077</v>
          </cell>
        </row>
        <row r="49">
          <cell r="C49">
            <v>646</v>
          </cell>
          <cell r="D49">
            <v>52</v>
          </cell>
          <cell r="E49">
            <v>2</v>
          </cell>
          <cell r="F49">
            <v>3.95</v>
          </cell>
          <cell r="G49">
            <v>3305365</v>
          </cell>
        </row>
        <row r="50">
          <cell r="C50">
            <v>663</v>
          </cell>
          <cell r="D50">
            <v>63</v>
          </cell>
          <cell r="E50">
            <v>3</v>
          </cell>
          <cell r="F50">
            <v>3.69</v>
          </cell>
          <cell r="G50">
            <v>3835489</v>
          </cell>
        </row>
        <row r="51">
          <cell r="C51">
            <v>559</v>
          </cell>
          <cell r="D51">
            <v>52</v>
          </cell>
          <cell r="E51">
            <v>2</v>
          </cell>
          <cell r="F51">
            <v>3.39</v>
          </cell>
          <cell r="G51">
            <v>3430603</v>
          </cell>
        </row>
        <row r="52">
          <cell r="C52">
            <v>480</v>
          </cell>
          <cell r="D52">
            <v>31</v>
          </cell>
          <cell r="E52">
            <v>4</v>
          </cell>
          <cell r="F52">
            <v>3.63</v>
          </cell>
          <cell r="G52">
            <v>3082344</v>
          </cell>
        </row>
        <row r="53">
          <cell r="C53">
            <v>350</v>
          </cell>
          <cell r="D53">
            <v>47</v>
          </cell>
          <cell r="E53">
            <v>6</v>
          </cell>
          <cell r="F53">
            <v>4.26</v>
          </cell>
          <cell r="G53">
            <v>3715110</v>
          </cell>
        </row>
        <row r="54">
          <cell r="C54">
            <v>47</v>
          </cell>
          <cell r="D54">
            <v>38</v>
          </cell>
          <cell r="E54">
            <v>0</v>
          </cell>
          <cell r="F54">
            <v>2.88</v>
          </cell>
          <cell r="G54">
            <v>2215080</v>
          </cell>
        </row>
        <row r="55">
          <cell r="C55">
            <v>744</v>
          </cell>
          <cell r="D55">
            <v>71</v>
          </cell>
          <cell r="E55">
            <v>4</v>
          </cell>
          <cell r="F55">
            <v>3.61</v>
          </cell>
          <cell r="G55">
            <v>4493979</v>
          </cell>
        </row>
        <row r="56">
          <cell r="C56">
            <v>0</v>
          </cell>
          <cell r="D56">
            <v>55</v>
          </cell>
          <cell r="E56">
            <v>1</v>
          </cell>
          <cell r="F56">
            <v>3.09</v>
          </cell>
          <cell r="G56">
            <v>1686343</v>
          </cell>
        </row>
        <row r="57">
          <cell r="C57">
            <v>727</v>
          </cell>
          <cell r="D57">
            <v>87</v>
          </cell>
          <cell r="E57">
            <v>2</v>
          </cell>
          <cell r="F57">
            <v>3.65</v>
          </cell>
          <cell r="G57">
            <v>3794112</v>
          </cell>
        </row>
        <row r="58">
          <cell r="C58">
            <v>829</v>
          </cell>
          <cell r="D58">
            <v>59</v>
          </cell>
          <cell r="E58">
            <v>4</v>
          </cell>
          <cell r="F58">
            <v>3.75</v>
          </cell>
          <cell r="G58">
            <v>3895631</v>
          </cell>
        </row>
        <row r="59">
          <cell r="C59">
            <v>342</v>
          </cell>
          <cell r="D59">
            <v>58</v>
          </cell>
          <cell r="E59">
            <v>3</v>
          </cell>
          <cell r="F59">
            <v>3.97</v>
          </cell>
          <cell r="G59">
            <v>2810319</v>
          </cell>
        </row>
        <row r="60">
          <cell r="C60">
            <v>741</v>
          </cell>
          <cell r="D60">
            <v>70</v>
          </cell>
          <cell r="E60">
            <v>3</v>
          </cell>
          <cell r="F60">
            <v>4.03</v>
          </cell>
          <cell r="G60">
            <v>3770525</v>
          </cell>
        </row>
        <row r="61">
          <cell r="C61">
            <v>779</v>
          </cell>
          <cell r="D61">
            <v>45</v>
          </cell>
          <cell r="E61">
            <v>4</v>
          </cell>
          <cell r="F61">
            <v>3.64</v>
          </cell>
          <cell r="G61">
            <v>3540927</v>
          </cell>
        </row>
        <row r="62">
          <cell r="C62">
            <v>779</v>
          </cell>
          <cell r="D62">
            <v>43</v>
          </cell>
          <cell r="E62">
            <v>3</v>
          </cell>
          <cell r="F62">
            <v>3.51</v>
          </cell>
          <cell r="G62">
            <v>3944008</v>
          </cell>
        </row>
        <row r="63">
          <cell r="C63">
            <v>489</v>
          </cell>
          <cell r="D63">
            <v>34</v>
          </cell>
          <cell r="E63">
            <v>3</v>
          </cell>
          <cell r="F63">
            <v>3.51</v>
          </cell>
          <cell r="G63">
            <v>2610695</v>
          </cell>
        </row>
        <row r="64">
          <cell r="C64">
            <v>688</v>
          </cell>
          <cell r="D64">
            <v>61</v>
          </cell>
          <cell r="E64">
            <v>3</v>
          </cell>
          <cell r="F64">
            <v>3.26</v>
          </cell>
          <cell r="G64">
            <v>3479789</v>
          </cell>
        </row>
        <row r="65">
          <cell r="C65">
            <v>651</v>
          </cell>
          <cell r="D65">
            <v>53</v>
          </cell>
          <cell r="E65">
            <v>3</v>
          </cell>
          <cell r="F65">
            <v>3.72</v>
          </cell>
          <cell r="G65">
            <v>3484800</v>
          </cell>
        </row>
        <row r="66">
          <cell r="C66">
            <v>398</v>
          </cell>
          <cell r="D66">
            <v>65</v>
          </cell>
          <cell r="E66">
            <v>2</v>
          </cell>
          <cell r="F66">
            <v>3.52</v>
          </cell>
          <cell r="G66">
            <v>2852158</v>
          </cell>
        </row>
        <row r="67">
          <cell r="C67">
            <v>468</v>
          </cell>
          <cell r="D67">
            <v>50</v>
          </cell>
          <cell r="E67">
            <v>3</v>
          </cell>
          <cell r="F67">
            <v>3.48</v>
          </cell>
          <cell r="G67">
            <v>3428319</v>
          </cell>
        </row>
        <row r="68">
          <cell r="C68">
            <v>762</v>
          </cell>
          <cell r="D68">
            <v>77</v>
          </cell>
          <cell r="E68">
            <v>7</v>
          </cell>
          <cell r="F68">
            <v>4.25</v>
          </cell>
          <cell r="G68">
            <v>4449616</v>
          </cell>
        </row>
        <row r="69">
          <cell r="C69">
            <v>465</v>
          </cell>
          <cell r="D69">
            <v>60</v>
          </cell>
          <cell r="E69">
            <v>3</v>
          </cell>
          <cell r="F69">
            <v>3.97</v>
          </cell>
          <cell r="G69">
            <v>3425839</v>
          </cell>
        </row>
        <row r="70">
          <cell r="C70">
            <v>713</v>
          </cell>
          <cell r="D70">
            <v>83</v>
          </cell>
          <cell r="E70">
            <v>4</v>
          </cell>
          <cell r="F70">
            <v>4.17</v>
          </cell>
          <cell r="G70">
            <v>3603677</v>
          </cell>
        </row>
        <row r="71">
          <cell r="C71">
            <v>624</v>
          </cell>
          <cell r="D71">
            <v>36</v>
          </cell>
          <cell r="E71">
            <v>2</v>
          </cell>
          <cell r="F71">
            <v>3.39</v>
          </cell>
          <cell r="G71">
            <v>2880583</v>
          </cell>
        </row>
        <row r="72">
          <cell r="C72">
            <v>541</v>
          </cell>
          <cell r="D72">
            <v>66</v>
          </cell>
          <cell r="E72">
            <v>0</v>
          </cell>
          <cell r="F72">
            <v>3.58</v>
          </cell>
          <cell r="G72">
            <v>2834974</v>
          </cell>
        </row>
        <row r="73">
          <cell r="C73">
            <v>629</v>
          </cell>
          <cell r="D73">
            <v>55</v>
          </cell>
          <cell r="E73">
            <v>1</v>
          </cell>
          <cell r="F73">
            <v>3.73</v>
          </cell>
          <cell r="G73">
            <v>3443624</v>
          </cell>
        </row>
        <row r="74">
          <cell r="C74">
            <v>685</v>
          </cell>
          <cell r="D74">
            <v>64</v>
          </cell>
          <cell r="E74">
            <v>4</v>
          </cell>
          <cell r="F74">
            <v>3.78</v>
          </cell>
          <cell r="G74">
            <v>3382145</v>
          </cell>
        </row>
        <row r="75">
          <cell r="C75">
            <v>618</v>
          </cell>
          <cell r="D75">
            <v>65</v>
          </cell>
          <cell r="E75">
            <v>3</v>
          </cell>
          <cell r="F75">
            <v>3.47</v>
          </cell>
          <cell r="G75">
            <v>3593134</v>
          </cell>
        </row>
        <row r="76">
          <cell r="C76">
            <v>646</v>
          </cell>
          <cell r="D76">
            <v>53</v>
          </cell>
          <cell r="E76">
            <v>2</v>
          </cell>
          <cell r="F76">
            <v>3.93</v>
          </cell>
          <cell r="G76">
            <v>3441690</v>
          </cell>
        </row>
        <row r="77">
          <cell r="C77">
            <v>773</v>
          </cell>
          <cell r="D77">
            <v>53</v>
          </cell>
          <cell r="E77">
            <v>3</v>
          </cell>
          <cell r="F77">
            <v>3.58</v>
          </cell>
          <cell r="G77">
            <v>3647275</v>
          </cell>
        </row>
        <row r="78">
          <cell r="C78">
            <v>559</v>
          </cell>
          <cell r="D78">
            <v>72</v>
          </cell>
          <cell r="E78">
            <v>2</v>
          </cell>
          <cell r="F78">
            <v>3.43</v>
          </cell>
          <cell r="G78">
            <v>3565422</v>
          </cell>
        </row>
        <row r="79">
          <cell r="C79">
            <v>654</v>
          </cell>
          <cell r="D79">
            <v>64</v>
          </cell>
          <cell r="E79">
            <v>3</v>
          </cell>
          <cell r="F79">
            <v>3.37</v>
          </cell>
          <cell r="G79">
            <v>3690965</v>
          </cell>
        </row>
        <row r="80">
          <cell r="C80">
            <v>553</v>
          </cell>
          <cell r="D80">
            <v>68</v>
          </cell>
          <cell r="E80">
            <v>3</v>
          </cell>
          <cell r="F80">
            <v>3.74</v>
          </cell>
          <cell r="G80">
            <v>3506371</v>
          </cell>
        </row>
        <row r="81">
          <cell r="C81">
            <v>704</v>
          </cell>
          <cell r="D81">
            <v>76</v>
          </cell>
          <cell r="E81">
            <v>3</v>
          </cell>
          <cell r="F81">
            <v>4.1900000000000004</v>
          </cell>
          <cell r="G81">
            <v>3771809</v>
          </cell>
        </row>
        <row r="82">
          <cell r="C82">
            <v>572</v>
          </cell>
          <cell r="D82">
            <v>85</v>
          </cell>
          <cell r="E82">
            <v>1</v>
          </cell>
          <cell r="F82">
            <v>4.22</v>
          </cell>
          <cell r="G82">
            <v>3385073</v>
          </cell>
        </row>
        <row r="83">
          <cell r="C83">
            <v>781</v>
          </cell>
          <cell r="D83">
            <v>67</v>
          </cell>
          <cell r="E83">
            <v>3</v>
          </cell>
          <cell r="F83">
            <v>3.96</v>
          </cell>
          <cell r="G83">
            <v>3497731</v>
          </cell>
        </row>
        <row r="84">
          <cell r="C84">
            <v>879</v>
          </cell>
          <cell r="D84">
            <v>59</v>
          </cell>
          <cell r="E84">
            <v>4</v>
          </cell>
          <cell r="F84">
            <v>3.47</v>
          </cell>
          <cell r="G84">
            <v>4323354</v>
          </cell>
        </row>
        <row r="85">
          <cell r="C85">
            <v>253</v>
          </cell>
          <cell r="D85">
            <v>50</v>
          </cell>
          <cell r="E85">
            <v>1</v>
          </cell>
          <cell r="F85">
            <v>3.59</v>
          </cell>
          <cell r="G85">
            <v>2348387</v>
          </cell>
        </row>
        <row r="86">
          <cell r="C86">
            <v>952</v>
          </cell>
          <cell r="D86">
            <v>81</v>
          </cell>
          <cell r="E86">
            <v>7</v>
          </cell>
          <cell r="F86">
            <v>4.5</v>
          </cell>
          <cell r="G86">
            <v>5485037</v>
          </cell>
        </row>
        <row r="87">
          <cell r="C87">
            <v>898</v>
          </cell>
          <cell r="D87">
            <v>62</v>
          </cell>
          <cell r="E87">
            <v>4</v>
          </cell>
          <cell r="F87">
            <v>3.51</v>
          </cell>
          <cell r="G87">
            <v>3990852</v>
          </cell>
        </row>
        <row r="88">
          <cell r="C88">
            <v>407</v>
          </cell>
          <cell r="D88">
            <v>45</v>
          </cell>
          <cell r="E88">
            <v>2</v>
          </cell>
          <cell r="F88">
            <v>3.47</v>
          </cell>
          <cell r="G88">
            <v>3369943</v>
          </cell>
        </row>
        <row r="89">
          <cell r="C89">
            <v>1201</v>
          </cell>
          <cell r="D89">
            <v>56</v>
          </cell>
          <cell r="E89">
            <v>6</v>
          </cell>
          <cell r="F89">
            <v>3.74</v>
          </cell>
          <cell r="G89">
            <v>4734700</v>
          </cell>
        </row>
        <row r="90">
          <cell r="C90">
            <v>660</v>
          </cell>
          <cell r="D90">
            <v>62</v>
          </cell>
          <cell r="E90">
            <v>2</v>
          </cell>
          <cell r="F90">
            <v>4.26</v>
          </cell>
          <cell r="G90">
            <v>3422944</v>
          </cell>
        </row>
        <row r="91">
          <cell r="C91">
            <v>733</v>
          </cell>
          <cell r="D91">
            <v>61</v>
          </cell>
          <cell r="E91">
            <v>3</v>
          </cell>
          <cell r="F91">
            <v>4.07</v>
          </cell>
          <cell r="G91">
            <v>3908235</v>
          </cell>
        </row>
        <row r="92">
          <cell r="C92">
            <v>1028</v>
          </cell>
          <cell r="D92">
            <v>67</v>
          </cell>
          <cell r="E92">
            <v>6</v>
          </cell>
          <cell r="F92">
            <v>4.12</v>
          </cell>
          <cell r="G92">
            <v>4943585</v>
          </cell>
        </row>
        <row r="93">
          <cell r="C93">
            <v>444</v>
          </cell>
          <cell r="D93">
            <v>61</v>
          </cell>
          <cell r="E93">
            <v>4</v>
          </cell>
          <cell r="F93">
            <v>4.29</v>
          </cell>
          <cell r="G93">
            <v>3915734</v>
          </cell>
        </row>
        <row r="94">
          <cell r="C94">
            <v>324</v>
          </cell>
          <cell r="D94">
            <v>51</v>
          </cell>
          <cell r="E94">
            <v>2</v>
          </cell>
          <cell r="F94">
            <v>3.69</v>
          </cell>
          <cell r="G94">
            <v>2720149</v>
          </cell>
        </row>
        <row r="95">
          <cell r="C95">
            <v>519</v>
          </cell>
          <cell r="D95">
            <v>61</v>
          </cell>
          <cell r="E95">
            <v>4</v>
          </cell>
          <cell r="F95">
            <v>3.86</v>
          </cell>
          <cell r="G95">
            <v>4166226</v>
          </cell>
        </row>
        <row r="96">
          <cell r="C96">
            <v>645</v>
          </cell>
          <cell r="D96">
            <v>89</v>
          </cell>
          <cell r="E96">
            <v>2</v>
          </cell>
          <cell r="F96">
            <v>4.42</v>
          </cell>
          <cell r="G96">
            <v>3606000</v>
          </cell>
        </row>
        <row r="97">
          <cell r="C97">
            <v>700</v>
          </cell>
          <cell r="D97">
            <v>73</v>
          </cell>
          <cell r="E97">
            <v>4</v>
          </cell>
          <cell r="F97">
            <v>3.88</v>
          </cell>
          <cell r="G97">
            <v>4413952</v>
          </cell>
        </row>
        <row r="98">
          <cell r="C98">
            <v>777</v>
          </cell>
          <cell r="D98">
            <v>65</v>
          </cell>
          <cell r="E98">
            <v>4</v>
          </cell>
          <cell r="F98">
            <v>3.49</v>
          </cell>
          <cell r="G98">
            <v>4012557</v>
          </cell>
        </row>
        <row r="99">
          <cell r="C99">
            <v>1026</v>
          </cell>
          <cell r="D99">
            <v>72</v>
          </cell>
          <cell r="E99">
            <v>4</v>
          </cell>
          <cell r="F99">
            <v>4.2300000000000004</v>
          </cell>
          <cell r="G99">
            <v>4358762</v>
          </cell>
        </row>
        <row r="100">
          <cell r="C100">
            <v>407</v>
          </cell>
          <cell r="D100">
            <v>48</v>
          </cell>
          <cell r="E100">
            <v>2</v>
          </cell>
          <cell r="F100">
            <v>3.49</v>
          </cell>
          <cell r="G100">
            <v>2651211</v>
          </cell>
        </row>
        <row r="101">
          <cell r="C101">
            <v>298</v>
          </cell>
          <cell r="D101">
            <v>51</v>
          </cell>
          <cell r="E101">
            <v>3</v>
          </cell>
          <cell r="F101">
            <v>4.0599999999999996</v>
          </cell>
          <cell r="G101">
            <v>3204136</v>
          </cell>
        </row>
        <row r="102">
          <cell r="C102">
            <v>680</v>
          </cell>
          <cell r="D102">
            <v>51</v>
          </cell>
          <cell r="E102">
            <v>3</v>
          </cell>
          <cell r="F102">
            <v>3.12</v>
          </cell>
          <cell r="G102">
            <v>3960520</v>
          </cell>
        </row>
        <row r="103">
          <cell r="C103">
            <v>594</v>
          </cell>
          <cell r="D103">
            <v>59</v>
          </cell>
          <cell r="E103">
            <v>5</v>
          </cell>
          <cell r="F103">
            <v>4.12</v>
          </cell>
          <cell r="G103">
            <v>3909270</v>
          </cell>
        </row>
        <row r="104">
          <cell r="C104">
            <v>583</v>
          </cell>
          <cell r="D104">
            <v>40</v>
          </cell>
          <cell r="E104">
            <v>2</v>
          </cell>
          <cell r="F104">
            <v>3.63</v>
          </cell>
          <cell r="G104">
            <v>3316580</v>
          </cell>
        </row>
        <row r="105">
          <cell r="C105">
            <v>259</v>
          </cell>
          <cell r="D105">
            <v>58</v>
          </cell>
          <cell r="E105">
            <v>1</v>
          </cell>
          <cell r="F105">
            <v>3.53</v>
          </cell>
          <cell r="G105">
            <v>2205518</v>
          </cell>
        </row>
        <row r="106">
          <cell r="C106">
            <v>769</v>
          </cell>
          <cell r="D106">
            <v>82</v>
          </cell>
          <cell r="E106">
            <v>3</v>
          </cell>
          <cell r="F106">
            <v>3.9</v>
          </cell>
          <cell r="G106">
            <v>4405997</v>
          </cell>
        </row>
        <row r="107">
          <cell r="C107">
            <v>764</v>
          </cell>
          <cell r="D107">
            <v>57</v>
          </cell>
          <cell r="E107">
            <v>4</v>
          </cell>
          <cell r="F107">
            <v>3.92</v>
          </cell>
          <cell r="G107">
            <v>3693746</v>
          </cell>
        </row>
        <row r="108">
          <cell r="C108">
            <v>529</v>
          </cell>
          <cell r="D108">
            <v>45</v>
          </cell>
          <cell r="E108">
            <v>3</v>
          </cell>
          <cell r="F108">
            <v>3.58</v>
          </cell>
          <cell r="G108">
            <v>2609333</v>
          </cell>
        </row>
        <row r="109">
          <cell r="C109">
            <v>1280</v>
          </cell>
          <cell r="D109">
            <v>67</v>
          </cell>
          <cell r="E109">
            <v>8</v>
          </cell>
          <cell r="F109">
            <v>4.1399999999999997</v>
          </cell>
          <cell r="G109">
            <v>5390684</v>
          </cell>
        </row>
        <row r="110">
          <cell r="C110">
            <v>304</v>
          </cell>
          <cell r="D110">
            <v>55</v>
          </cell>
          <cell r="E110">
            <v>2</v>
          </cell>
          <cell r="F110">
            <v>3.63</v>
          </cell>
          <cell r="G110">
            <v>3269050</v>
          </cell>
        </row>
        <row r="111">
          <cell r="C111">
            <v>856</v>
          </cell>
          <cell r="D111">
            <v>72</v>
          </cell>
          <cell r="E111">
            <v>4</v>
          </cell>
          <cell r="F111">
            <v>3.94</v>
          </cell>
          <cell r="G111">
            <v>4064637</v>
          </cell>
        </row>
        <row r="112">
          <cell r="C112">
            <v>456</v>
          </cell>
          <cell r="D112">
            <v>63</v>
          </cell>
          <cell r="E112">
            <v>2</v>
          </cell>
          <cell r="F112">
            <v>3.91</v>
          </cell>
          <cell r="G112">
            <v>3423276</v>
          </cell>
        </row>
        <row r="113">
          <cell r="C113">
            <v>386</v>
          </cell>
          <cell r="D113">
            <v>31</v>
          </cell>
          <cell r="E113">
            <v>2</v>
          </cell>
          <cell r="F113">
            <v>3.02</v>
          </cell>
          <cell r="G113">
            <v>2265103</v>
          </cell>
        </row>
        <row r="114">
          <cell r="C114">
            <v>308</v>
          </cell>
          <cell r="D114">
            <v>64</v>
          </cell>
          <cell r="E114">
            <v>3</v>
          </cell>
          <cell r="F114">
            <v>3.74</v>
          </cell>
          <cell r="G114">
            <v>2760279</v>
          </cell>
        </row>
        <row r="115">
          <cell r="C115">
            <v>858</v>
          </cell>
          <cell r="D115">
            <v>64</v>
          </cell>
          <cell r="E115">
            <v>5</v>
          </cell>
          <cell r="F115">
            <v>3.95</v>
          </cell>
          <cell r="G115">
            <v>3863782</v>
          </cell>
        </row>
        <row r="116">
          <cell r="C116">
            <v>449</v>
          </cell>
          <cell r="D116">
            <v>64</v>
          </cell>
          <cell r="E116">
            <v>0</v>
          </cell>
          <cell r="F116">
            <v>3.49</v>
          </cell>
          <cell r="G116">
            <v>2501202</v>
          </cell>
        </row>
        <row r="117">
          <cell r="C117">
            <v>479</v>
          </cell>
          <cell r="D117">
            <v>74</v>
          </cell>
          <cell r="E117">
            <v>3</v>
          </cell>
          <cell r="F117">
            <v>4.3600000000000003</v>
          </cell>
          <cell r="G117">
            <v>4128842</v>
          </cell>
        </row>
        <row r="118">
          <cell r="C118">
            <v>499</v>
          </cell>
          <cell r="D118">
            <v>51</v>
          </cell>
          <cell r="E118">
            <v>4</v>
          </cell>
          <cell r="F118">
            <v>3.49</v>
          </cell>
          <cell r="G118">
            <v>3242348</v>
          </cell>
        </row>
        <row r="119">
          <cell r="C119">
            <v>708</v>
          </cell>
          <cell r="D119">
            <v>67</v>
          </cell>
          <cell r="E119">
            <v>3</v>
          </cell>
          <cell r="F119">
            <v>3.74</v>
          </cell>
          <cell r="G119">
            <v>3434418</v>
          </cell>
        </row>
        <row r="120">
          <cell r="C120">
            <v>895</v>
          </cell>
          <cell r="D120">
            <v>63</v>
          </cell>
          <cell r="E120">
            <v>3</v>
          </cell>
          <cell r="F120">
            <v>3.62</v>
          </cell>
          <cell r="G120">
            <v>3532316</v>
          </cell>
        </row>
        <row r="121">
          <cell r="C121">
            <v>690</v>
          </cell>
          <cell r="D121">
            <v>58</v>
          </cell>
          <cell r="E121">
            <v>2</v>
          </cell>
          <cell r="F121">
            <v>3.87</v>
          </cell>
          <cell r="G121">
            <v>3231473</v>
          </cell>
        </row>
        <row r="122">
          <cell r="C122">
            <v>922</v>
          </cell>
          <cell r="D122">
            <v>83</v>
          </cell>
          <cell r="E122">
            <v>3</v>
          </cell>
          <cell r="F122">
            <v>4.07</v>
          </cell>
          <cell r="G122">
            <v>4059504</v>
          </cell>
        </row>
        <row r="123">
          <cell r="C123">
            <v>948</v>
          </cell>
          <cell r="D123">
            <v>66</v>
          </cell>
          <cell r="E123">
            <v>4</v>
          </cell>
          <cell r="F123">
            <v>4.3600000000000003</v>
          </cell>
          <cell r="G123">
            <v>3581662</v>
          </cell>
        </row>
        <row r="124">
          <cell r="C124">
            <v>504</v>
          </cell>
          <cell r="D124">
            <v>64</v>
          </cell>
          <cell r="E124">
            <v>2</v>
          </cell>
          <cell r="F124">
            <v>3.55</v>
          </cell>
          <cell r="G124">
            <v>3058374</v>
          </cell>
        </row>
        <row r="125">
          <cell r="C125">
            <v>694</v>
          </cell>
          <cell r="D125">
            <v>68</v>
          </cell>
          <cell r="E125">
            <v>3</v>
          </cell>
          <cell r="F125">
            <v>3.55</v>
          </cell>
          <cell r="G125">
            <v>3987763</v>
          </cell>
        </row>
        <row r="126">
          <cell r="C126">
            <v>836</v>
          </cell>
          <cell r="D126">
            <v>79</v>
          </cell>
          <cell r="E126">
            <v>2</v>
          </cell>
          <cell r="F126">
            <v>3.9</v>
          </cell>
          <cell r="G126">
            <v>4234321</v>
          </cell>
        </row>
        <row r="127">
          <cell r="C127">
            <v>801</v>
          </cell>
          <cell r="D127">
            <v>85</v>
          </cell>
          <cell r="E127">
            <v>4</v>
          </cell>
          <cell r="F127">
            <v>4.0999999999999996</v>
          </cell>
          <cell r="G127">
            <v>4637723</v>
          </cell>
        </row>
        <row r="128">
          <cell r="C128">
            <v>645</v>
          </cell>
          <cell r="D128">
            <v>66</v>
          </cell>
          <cell r="E128">
            <v>3</v>
          </cell>
          <cell r="F128">
            <v>4.08</v>
          </cell>
          <cell r="G128">
            <v>3990224</v>
          </cell>
        </row>
        <row r="129">
          <cell r="C129">
            <v>1010</v>
          </cell>
          <cell r="D129">
            <v>81</v>
          </cell>
          <cell r="E129">
            <v>4</v>
          </cell>
          <cell r="F129">
            <v>4.2</v>
          </cell>
          <cell r="G129">
            <v>4535162</v>
          </cell>
        </row>
        <row r="130">
          <cell r="C130">
            <v>560</v>
          </cell>
          <cell r="D130">
            <v>75</v>
          </cell>
          <cell r="E130">
            <v>4</v>
          </cell>
          <cell r="F130">
            <v>3.79</v>
          </cell>
          <cell r="G130">
            <v>3431864</v>
          </cell>
        </row>
        <row r="131">
          <cell r="C131">
            <v>566</v>
          </cell>
          <cell r="D131">
            <v>63</v>
          </cell>
          <cell r="E131">
            <v>3</v>
          </cell>
          <cell r="F131">
            <v>3.76</v>
          </cell>
          <cell r="G131">
            <v>3706394</v>
          </cell>
        </row>
        <row r="132">
          <cell r="C132">
            <v>711</v>
          </cell>
          <cell r="D132">
            <v>51</v>
          </cell>
          <cell r="E132">
            <v>3</v>
          </cell>
          <cell r="F132">
            <v>3.57</v>
          </cell>
          <cell r="G132">
            <v>3497196</v>
          </cell>
        </row>
        <row r="133">
          <cell r="C133">
            <v>580</v>
          </cell>
          <cell r="D133">
            <v>74</v>
          </cell>
          <cell r="E133">
            <v>1</v>
          </cell>
          <cell r="F133">
            <v>4.18</v>
          </cell>
          <cell r="G133">
            <v>3498377</v>
          </cell>
        </row>
        <row r="134">
          <cell r="C134">
            <v>372</v>
          </cell>
          <cell r="D134">
            <v>54</v>
          </cell>
          <cell r="E134">
            <v>2</v>
          </cell>
          <cell r="F134">
            <v>3.34</v>
          </cell>
          <cell r="G134">
            <v>3612651</v>
          </cell>
        </row>
        <row r="135">
          <cell r="C135">
            <v>896</v>
          </cell>
          <cell r="D135">
            <v>83</v>
          </cell>
          <cell r="E135">
            <v>4</v>
          </cell>
          <cell r="F135">
            <v>4.34</v>
          </cell>
          <cell r="G135">
            <v>4561550</v>
          </cell>
        </row>
        <row r="136">
          <cell r="C136">
            <v>633</v>
          </cell>
          <cell r="D136">
            <v>31</v>
          </cell>
          <cell r="E136">
            <v>3</v>
          </cell>
          <cell r="F136">
            <v>3.31</v>
          </cell>
          <cell r="G136">
            <v>3593488</v>
          </cell>
        </row>
        <row r="137">
          <cell r="C137">
            <v>868</v>
          </cell>
          <cell r="D137">
            <v>82</v>
          </cell>
          <cell r="E137">
            <v>4</v>
          </cell>
          <cell r="F137">
            <v>4.1100000000000003</v>
          </cell>
          <cell r="G137">
            <v>4074186</v>
          </cell>
        </row>
        <row r="138">
          <cell r="C138">
            <v>924</v>
          </cell>
          <cell r="D138">
            <v>75</v>
          </cell>
          <cell r="E138">
            <v>4</v>
          </cell>
          <cell r="F138">
            <v>3.97</v>
          </cell>
          <cell r="G138">
            <v>4025808</v>
          </cell>
        </row>
        <row r="139">
          <cell r="C139">
            <v>325</v>
          </cell>
          <cell r="D139">
            <v>51</v>
          </cell>
          <cell r="E139">
            <v>3</v>
          </cell>
          <cell r="F139">
            <v>3.63</v>
          </cell>
          <cell r="G139">
            <v>2966030</v>
          </cell>
        </row>
        <row r="140">
          <cell r="C140">
            <v>769</v>
          </cell>
          <cell r="D140">
            <v>73</v>
          </cell>
          <cell r="E140">
            <v>3</v>
          </cell>
          <cell r="F140">
            <v>3.35</v>
          </cell>
          <cell r="G140">
            <v>4124546</v>
          </cell>
        </row>
        <row r="141">
          <cell r="C141">
            <v>510</v>
          </cell>
          <cell r="D141">
            <v>68</v>
          </cell>
          <cell r="E141">
            <v>3</v>
          </cell>
          <cell r="F141">
            <v>3.59</v>
          </cell>
          <cell r="G141">
            <v>3559739</v>
          </cell>
        </row>
        <row r="142">
          <cell r="C142">
            <v>696</v>
          </cell>
          <cell r="D142">
            <v>70</v>
          </cell>
          <cell r="E142">
            <v>4</v>
          </cell>
          <cell r="F142">
            <v>4.0599999999999996</v>
          </cell>
          <cell r="G142">
            <v>3960931</v>
          </cell>
        </row>
        <row r="143">
          <cell r="C143">
            <v>787</v>
          </cell>
          <cell r="D143">
            <v>73</v>
          </cell>
          <cell r="E143">
            <v>4</v>
          </cell>
          <cell r="F143">
            <v>3.4</v>
          </cell>
          <cell r="G143">
            <v>4613578</v>
          </cell>
        </row>
        <row r="144">
          <cell r="C144">
            <v>454</v>
          </cell>
          <cell r="D144">
            <v>45</v>
          </cell>
          <cell r="E144">
            <v>1</v>
          </cell>
          <cell r="F144">
            <v>3.95</v>
          </cell>
          <cell r="G144">
            <v>2888513</v>
          </cell>
        </row>
        <row r="145">
          <cell r="C145">
            <v>390</v>
          </cell>
          <cell r="D145">
            <v>40</v>
          </cell>
          <cell r="E145">
            <v>2</v>
          </cell>
          <cell r="F145">
            <v>3.75</v>
          </cell>
          <cell r="G145">
            <v>2478397</v>
          </cell>
        </row>
        <row r="146">
          <cell r="C146">
            <v>634</v>
          </cell>
          <cell r="D146">
            <v>42</v>
          </cell>
          <cell r="E146">
            <v>4</v>
          </cell>
          <cell r="F146">
            <v>3.44</v>
          </cell>
          <cell r="G146">
            <v>3290621</v>
          </cell>
        </row>
        <row r="147">
          <cell r="C147">
            <v>555</v>
          </cell>
          <cell r="D147">
            <v>71</v>
          </cell>
          <cell r="E147">
            <v>4</v>
          </cell>
          <cell r="F147">
            <v>4.2300000000000004</v>
          </cell>
          <cell r="G147">
            <v>4188249</v>
          </cell>
        </row>
        <row r="148">
          <cell r="C148">
            <v>505</v>
          </cell>
          <cell r="D148">
            <v>52</v>
          </cell>
          <cell r="E148">
            <v>4</v>
          </cell>
          <cell r="F148">
            <v>3.69</v>
          </cell>
          <cell r="G148">
            <v>3472985</v>
          </cell>
        </row>
        <row r="149">
          <cell r="C149">
            <v>716</v>
          </cell>
          <cell r="D149">
            <v>57</v>
          </cell>
          <cell r="E149">
            <v>5</v>
          </cell>
          <cell r="F149">
            <v>3.65</v>
          </cell>
          <cell r="G149">
            <v>3825483</v>
          </cell>
        </row>
        <row r="150">
          <cell r="C150">
            <v>594</v>
          </cell>
          <cell r="D150">
            <v>59</v>
          </cell>
          <cell r="E150">
            <v>3</v>
          </cell>
          <cell r="F150">
            <v>4.22</v>
          </cell>
          <cell r="G150">
            <v>3036386</v>
          </cell>
        </row>
        <row r="151">
          <cell r="C151">
            <v>753</v>
          </cell>
          <cell r="D151">
            <v>71</v>
          </cell>
          <cell r="E151">
            <v>3</v>
          </cell>
          <cell r="F151">
            <v>4.2</v>
          </cell>
          <cell r="G151">
            <v>4253199</v>
          </cell>
        </row>
        <row r="152">
          <cell r="C152">
            <v>792</v>
          </cell>
          <cell r="D152">
            <v>52</v>
          </cell>
          <cell r="E152">
            <v>4</v>
          </cell>
          <cell r="F152">
            <v>3.57</v>
          </cell>
          <cell r="G152">
            <v>3758636</v>
          </cell>
        </row>
        <row r="153">
          <cell r="C153">
            <v>462</v>
          </cell>
          <cell r="D153">
            <v>55</v>
          </cell>
          <cell r="E153">
            <v>4</v>
          </cell>
          <cell r="F153">
            <v>3.73</v>
          </cell>
          <cell r="G153">
            <v>3935751</v>
          </cell>
        </row>
        <row r="154">
          <cell r="C154">
            <v>502</v>
          </cell>
          <cell r="D154">
            <v>70</v>
          </cell>
          <cell r="E154">
            <v>2</v>
          </cell>
          <cell r="F154">
            <v>4.07</v>
          </cell>
          <cell r="G154">
            <v>3651201</v>
          </cell>
        </row>
        <row r="155">
          <cell r="C155">
            <v>708</v>
          </cell>
          <cell r="D155">
            <v>55</v>
          </cell>
          <cell r="E155">
            <v>3</v>
          </cell>
          <cell r="F155">
            <v>3.72</v>
          </cell>
          <cell r="G155">
            <v>4081680</v>
          </cell>
        </row>
        <row r="156">
          <cell r="C156">
            <v>690</v>
          </cell>
          <cell r="D156">
            <v>84</v>
          </cell>
          <cell r="E156">
            <v>3</v>
          </cell>
          <cell r="F156">
            <v>3.96</v>
          </cell>
          <cell r="G156">
            <v>3663610</v>
          </cell>
        </row>
        <row r="157">
          <cell r="C157">
            <v>673</v>
          </cell>
          <cell r="D157">
            <v>70</v>
          </cell>
          <cell r="E157">
            <v>4</v>
          </cell>
          <cell r="F157">
            <v>3.65</v>
          </cell>
          <cell r="G157">
            <v>3805223</v>
          </cell>
        </row>
        <row r="158">
          <cell r="C158">
            <v>991</v>
          </cell>
          <cell r="D158">
            <v>66</v>
          </cell>
          <cell r="E158">
            <v>4</v>
          </cell>
          <cell r="F158">
            <v>3.89</v>
          </cell>
          <cell r="G158">
            <v>4085799</v>
          </cell>
        </row>
        <row r="159">
          <cell r="C159">
            <v>1007</v>
          </cell>
          <cell r="D159">
            <v>76</v>
          </cell>
          <cell r="E159">
            <v>5</v>
          </cell>
          <cell r="F159">
            <v>4.37</v>
          </cell>
          <cell r="G159">
            <v>4976395</v>
          </cell>
        </row>
        <row r="160">
          <cell r="C160">
            <v>222</v>
          </cell>
          <cell r="D160">
            <v>47</v>
          </cell>
          <cell r="E160">
            <v>0</v>
          </cell>
          <cell r="F160">
            <v>3.47</v>
          </cell>
          <cell r="G160">
            <v>2510515</v>
          </cell>
        </row>
        <row r="161">
          <cell r="C161">
            <v>641</v>
          </cell>
          <cell r="D161">
            <v>60</v>
          </cell>
          <cell r="E161">
            <v>3</v>
          </cell>
          <cell r="F161">
            <v>3.76</v>
          </cell>
          <cell r="G161">
            <v>3509870</v>
          </cell>
        </row>
        <row r="162">
          <cell r="C162">
            <v>573</v>
          </cell>
          <cell r="D162">
            <v>55</v>
          </cell>
          <cell r="E162">
            <v>4</v>
          </cell>
          <cell r="F162">
            <v>3.82</v>
          </cell>
          <cell r="G162">
            <v>3478173</v>
          </cell>
        </row>
        <row r="163">
          <cell r="C163">
            <v>386</v>
          </cell>
          <cell r="D163">
            <v>51</v>
          </cell>
          <cell r="E163">
            <v>1</v>
          </cell>
          <cell r="F163">
            <v>3.56</v>
          </cell>
          <cell r="G163">
            <v>3084176</v>
          </cell>
        </row>
        <row r="164">
          <cell r="C164">
            <v>231</v>
          </cell>
          <cell r="D164">
            <v>49</v>
          </cell>
          <cell r="E164">
            <v>1</v>
          </cell>
          <cell r="F164">
            <v>3.76</v>
          </cell>
          <cell r="G164">
            <v>2274180</v>
          </cell>
        </row>
        <row r="165">
          <cell r="C165">
            <v>80</v>
          </cell>
          <cell r="D165">
            <v>36</v>
          </cell>
          <cell r="E165">
            <v>2</v>
          </cell>
          <cell r="F165">
            <v>3.53</v>
          </cell>
          <cell r="G165">
            <v>1887373</v>
          </cell>
        </row>
        <row r="166">
          <cell r="C166">
            <v>552</v>
          </cell>
          <cell r="D166">
            <v>53</v>
          </cell>
          <cell r="E166">
            <v>4</v>
          </cell>
          <cell r="F166">
            <v>3.67</v>
          </cell>
          <cell r="G166">
            <v>3219628</v>
          </cell>
        </row>
        <row r="167">
          <cell r="C167">
            <v>507</v>
          </cell>
          <cell r="D167">
            <v>67</v>
          </cell>
          <cell r="E167">
            <v>3</v>
          </cell>
          <cell r="F167">
            <v>3.42</v>
          </cell>
          <cell r="G167">
            <v>3291902</v>
          </cell>
        </row>
        <row r="168">
          <cell r="C168">
            <v>673</v>
          </cell>
          <cell r="D168">
            <v>59</v>
          </cell>
          <cell r="E168">
            <v>2</v>
          </cell>
          <cell r="F168">
            <v>4.1900000000000004</v>
          </cell>
          <cell r="G168">
            <v>3421716</v>
          </cell>
        </row>
        <row r="169">
          <cell r="C169">
            <v>544</v>
          </cell>
          <cell r="D169">
            <v>79</v>
          </cell>
          <cell r="E169">
            <v>1</v>
          </cell>
          <cell r="F169">
            <v>3.71</v>
          </cell>
          <cell r="G169">
            <v>2890177</v>
          </cell>
        </row>
        <row r="170">
          <cell r="C170">
            <v>802</v>
          </cell>
          <cell r="D170">
            <v>72</v>
          </cell>
          <cell r="E170">
            <v>2</v>
          </cell>
          <cell r="F170">
            <v>3.87</v>
          </cell>
          <cell r="G170">
            <v>3535619</v>
          </cell>
        </row>
        <row r="171">
          <cell r="C171">
            <v>892</v>
          </cell>
          <cell r="D171">
            <v>64</v>
          </cell>
          <cell r="E171">
            <v>4</v>
          </cell>
          <cell r="F171">
            <v>3.85</v>
          </cell>
          <cell r="G171">
            <v>4316273</v>
          </cell>
        </row>
        <row r="172">
          <cell r="C172">
            <v>440</v>
          </cell>
          <cell r="D172">
            <v>52</v>
          </cell>
          <cell r="E172">
            <v>1</v>
          </cell>
          <cell r="F172">
            <v>3.59</v>
          </cell>
          <cell r="G172">
            <v>3557018</v>
          </cell>
        </row>
        <row r="173">
          <cell r="C173">
            <v>475</v>
          </cell>
          <cell r="D173">
            <v>48</v>
          </cell>
          <cell r="E173">
            <v>3</v>
          </cell>
          <cell r="F173">
            <v>4.0199999999999996</v>
          </cell>
          <cell r="G173">
            <v>2759981</v>
          </cell>
        </row>
        <row r="174">
          <cell r="C174">
            <v>937</v>
          </cell>
          <cell r="D174">
            <v>73</v>
          </cell>
          <cell r="E174">
            <v>5</v>
          </cell>
          <cell r="F174">
            <v>3.54</v>
          </cell>
          <cell r="G174">
            <v>4623580</v>
          </cell>
        </row>
        <row r="175">
          <cell r="C175">
            <v>400</v>
          </cell>
          <cell r="D175">
            <v>52</v>
          </cell>
          <cell r="E175">
            <v>4</v>
          </cell>
          <cell r="F175">
            <v>3.78</v>
          </cell>
          <cell r="G175">
            <v>3374689</v>
          </cell>
        </row>
        <row r="176">
          <cell r="C176">
            <v>1034</v>
          </cell>
          <cell r="D176">
            <v>70</v>
          </cell>
          <cell r="E176">
            <v>5</v>
          </cell>
          <cell r="F176">
            <v>3.84</v>
          </cell>
          <cell r="G176">
            <v>4161010</v>
          </cell>
        </row>
        <row r="177">
          <cell r="C177">
            <v>1122</v>
          </cell>
          <cell r="D177">
            <v>83</v>
          </cell>
          <cell r="E177">
            <v>4</v>
          </cell>
          <cell r="F177">
            <v>3.96</v>
          </cell>
          <cell r="G177">
            <v>4600987</v>
          </cell>
        </row>
        <row r="178">
          <cell r="C178">
            <v>526</v>
          </cell>
          <cell r="D178">
            <v>50</v>
          </cell>
          <cell r="E178">
            <v>3</v>
          </cell>
          <cell r="F178">
            <v>3.34</v>
          </cell>
          <cell r="G178">
            <v>3330956</v>
          </cell>
        </row>
        <row r="179">
          <cell r="C179">
            <v>637</v>
          </cell>
          <cell r="D179">
            <v>56</v>
          </cell>
          <cell r="E179">
            <v>4</v>
          </cell>
          <cell r="F179">
            <v>3.82</v>
          </cell>
          <cell r="G179">
            <v>3453732</v>
          </cell>
        </row>
        <row r="180">
          <cell r="C180">
            <v>711</v>
          </cell>
          <cell r="D180">
            <v>55</v>
          </cell>
          <cell r="E180">
            <v>3</v>
          </cell>
          <cell r="F180">
            <v>3.84</v>
          </cell>
          <cell r="G180">
            <v>3479398</v>
          </cell>
        </row>
        <row r="181">
          <cell r="C181">
            <v>301</v>
          </cell>
          <cell r="D181">
            <v>48</v>
          </cell>
          <cell r="E181">
            <v>3</v>
          </cell>
          <cell r="F181">
            <v>3.39</v>
          </cell>
          <cell r="G181">
            <v>3134635</v>
          </cell>
        </row>
        <row r="182">
          <cell r="C182">
            <v>1121</v>
          </cell>
          <cell r="D182">
            <v>73</v>
          </cell>
          <cell r="E182">
            <v>5</v>
          </cell>
          <cell r="F182">
            <v>4.17</v>
          </cell>
          <cell r="G182">
            <v>4193281</v>
          </cell>
        </row>
        <row r="183">
          <cell r="C183">
            <v>82</v>
          </cell>
          <cell r="D183">
            <v>43</v>
          </cell>
          <cell r="E183">
            <v>2</v>
          </cell>
          <cell r="F183">
            <v>3.55</v>
          </cell>
          <cell r="G183">
            <v>2539225</v>
          </cell>
        </row>
        <row r="184">
          <cell r="C184">
            <v>598</v>
          </cell>
          <cell r="D184">
            <v>67</v>
          </cell>
          <cell r="E184">
            <v>3</v>
          </cell>
          <cell r="F184">
            <v>3.81</v>
          </cell>
          <cell r="G184">
            <v>3252175</v>
          </cell>
        </row>
        <row r="185">
          <cell r="C185">
            <v>520</v>
          </cell>
          <cell r="D185">
            <v>67</v>
          </cell>
          <cell r="E185">
            <v>2</v>
          </cell>
          <cell r="F185">
            <v>3.68</v>
          </cell>
          <cell r="G185">
            <v>3771339</v>
          </cell>
        </row>
        <row r="186">
          <cell r="C186">
            <v>1108</v>
          </cell>
          <cell r="D186">
            <v>86</v>
          </cell>
          <cell r="E186">
            <v>5</v>
          </cell>
          <cell r="F186">
            <v>3.8</v>
          </cell>
          <cell r="G186">
            <v>5047583</v>
          </cell>
        </row>
        <row r="187">
          <cell r="C187">
            <v>631</v>
          </cell>
          <cell r="D187">
            <v>48</v>
          </cell>
          <cell r="E187">
            <v>2</v>
          </cell>
          <cell r="F187">
            <v>4.37</v>
          </cell>
          <cell r="G187">
            <v>3487415</v>
          </cell>
        </row>
        <row r="188">
          <cell r="C188">
            <v>250</v>
          </cell>
          <cell r="D188">
            <v>53</v>
          </cell>
          <cell r="E188">
            <v>1</v>
          </cell>
          <cell r="F188">
            <v>4.07</v>
          </cell>
          <cell r="G188">
            <v>2457117</v>
          </cell>
        </row>
        <row r="189">
          <cell r="C189">
            <v>740</v>
          </cell>
          <cell r="D189">
            <v>62</v>
          </cell>
          <cell r="E189">
            <v>4</v>
          </cell>
          <cell r="F189">
            <v>3.63</v>
          </cell>
          <cell r="G189">
            <v>4015677</v>
          </cell>
        </row>
        <row r="190">
          <cell r="C190">
            <v>686</v>
          </cell>
          <cell r="D190">
            <v>60</v>
          </cell>
          <cell r="E190">
            <v>3</v>
          </cell>
          <cell r="F190">
            <v>3.18</v>
          </cell>
          <cell r="G190">
            <v>3117845</v>
          </cell>
        </row>
        <row r="191">
          <cell r="C191">
            <v>931</v>
          </cell>
          <cell r="D191">
            <v>56</v>
          </cell>
          <cell r="E191">
            <v>4</v>
          </cell>
          <cell r="F191">
            <v>4.1399999999999997</v>
          </cell>
          <cell r="G191">
            <v>3738975</v>
          </cell>
        </row>
        <row r="192">
          <cell r="C192">
            <v>174</v>
          </cell>
          <cell r="D192">
            <v>64</v>
          </cell>
          <cell r="E192">
            <v>0</v>
          </cell>
          <cell r="F192">
            <v>3.77</v>
          </cell>
          <cell r="G192">
            <v>2453964</v>
          </cell>
        </row>
        <row r="193">
          <cell r="C193">
            <v>855</v>
          </cell>
          <cell r="D193">
            <v>53</v>
          </cell>
          <cell r="E193">
            <v>6</v>
          </cell>
          <cell r="F193">
            <v>3.54</v>
          </cell>
          <cell r="G193">
            <v>4083414</v>
          </cell>
        </row>
        <row r="194">
          <cell r="C194">
            <v>877</v>
          </cell>
          <cell r="D194">
            <v>63</v>
          </cell>
          <cell r="E194">
            <v>4</v>
          </cell>
          <cell r="F194">
            <v>3.79</v>
          </cell>
          <cell r="G194">
            <v>3919904</v>
          </cell>
        </row>
        <row r="195">
          <cell r="C195">
            <v>444</v>
          </cell>
          <cell r="D195">
            <v>58</v>
          </cell>
          <cell r="E195">
            <v>2</v>
          </cell>
          <cell r="F195">
            <v>3.6</v>
          </cell>
          <cell r="G195">
            <v>2958711</v>
          </cell>
        </row>
        <row r="196">
          <cell r="C196">
            <v>376</v>
          </cell>
          <cell r="D196">
            <v>52</v>
          </cell>
          <cell r="E196">
            <v>2</v>
          </cell>
          <cell r="F196">
            <v>3.76</v>
          </cell>
          <cell r="G196">
            <v>3408726</v>
          </cell>
        </row>
        <row r="197">
          <cell r="C197">
            <v>445</v>
          </cell>
          <cell r="D197">
            <v>46</v>
          </cell>
          <cell r="E197">
            <v>3</v>
          </cell>
          <cell r="F197">
            <v>3.67</v>
          </cell>
          <cell r="G197">
            <v>3317500</v>
          </cell>
        </row>
        <row r="198">
          <cell r="C198">
            <v>874</v>
          </cell>
          <cell r="D198">
            <v>75</v>
          </cell>
          <cell r="E198">
            <v>6</v>
          </cell>
          <cell r="F198">
            <v>3.7</v>
          </cell>
          <cell r="G198">
            <v>4954883</v>
          </cell>
        </row>
        <row r="199">
          <cell r="C199">
            <v>808</v>
          </cell>
          <cell r="D199">
            <v>80</v>
          </cell>
          <cell r="E199">
            <v>4</v>
          </cell>
          <cell r="F199">
            <v>3.98</v>
          </cell>
          <cell r="G199">
            <v>4770511</v>
          </cell>
        </row>
        <row r="200">
          <cell r="C200">
            <v>486</v>
          </cell>
          <cell r="D200">
            <v>50</v>
          </cell>
          <cell r="E200">
            <v>4</v>
          </cell>
          <cell r="F200">
            <v>3.39</v>
          </cell>
          <cell r="G200">
            <v>2681925</v>
          </cell>
        </row>
        <row r="201">
          <cell r="C201">
            <v>826</v>
          </cell>
          <cell r="D201">
            <v>67</v>
          </cell>
          <cell r="E201">
            <v>5</v>
          </cell>
          <cell r="F201">
            <v>3.98</v>
          </cell>
          <cell r="G201">
            <v>4007335</v>
          </cell>
        </row>
        <row r="202">
          <cell r="C202">
            <v>927</v>
          </cell>
          <cell r="D202">
            <v>51</v>
          </cell>
          <cell r="E202">
            <v>3</v>
          </cell>
          <cell r="F202">
            <v>3.63</v>
          </cell>
          <cell r="G202">
            <v>4196927</v>
          </cell>
        </row>
        <row r="203">
          <cell r="C203">
            <v>528</v>
          </cell>
          <cell r="D203">
            <v>54</v>
          </cell>
          <cell r="E203">
            <v>3</v>
          </cell>
          <cell r="F203">
            <v>3.57</v>
          </cell>
          <cell r="G203">
            <v>3707472</v>
          </cell>
        </row>
        <row r="204">
          <cell r="C204">
            <v>900</v>
          </cell>
          <cell r="D204">
            <v>72</v>
          </cell>
          <cell r="E204">
            <v>4</v>
          </cell>
          <cell r="F204">
            <v>3.93</v>
          </cell>
          <cell r="G204">
            <v>4488044</v>
          </cell>
        </row>
        <row r="205">
          <cell r="C205">
            <v>503</v>
          </cell>
          <cell r="D205">
            <v>56</v>
          </cell>
          <cell r="E205">
            <v>3</v>
          </cell>
          <cell r="F205">
            <v>3.65</v>
          </cell>
          <cell r="G205">
            <v>3061800</v>
          </cell>
        </row>
        <row r="206">
          <cell r="C206">
            <v>514</v>
          </cell>
          <cell r="D206">
            <v>43</v>
          </cell>
          <cell r="E206">
            <v>3</v>
          </cell>
          <cell r="F206">
            <v>3.47</v>
          </cell>
          <cell r="G206">
            <v>2886361</v>
          </cell>
        </row>
        <row r="207">
          <cell r="C207">
            <v>570</v>
          </cell>
          <cell r="D207">
            <v>48</v>
          </cell>
          <cell r="E207">
            <v>3</v>
          </cell>
          <cell r="F207">
            <v>3.75</v>
          </cell>
          <cell r="G207">
            <v>3153072</v>
          </cell>
        </row>
        <row r="208">
          <cell r="C208">
            <v>677</v>
          </cell>
          <cell r="D208">
            <v>59</v>
          </cell>
          <cell r="E208">
            <v>4</v>
          </cell>
          <cell r="F208">
            <v>3.87</v>
          </cell>
          <cell r="G208">
            <v>4078818</v>
          </cell>
        </row>
        <row r="209">
          <cell r="C209">
            <v>87</v>
          </cell>
          <cell r="D209">
            <v>41</v>
          </cell>
          <cell r="E209">
            <v>0</v>
          </cell>
          <cell r="F209">
            <v>3.59</v>
          </cell>
          <cell r="G209">
            <v>1807338</v>
          </cell>
        </row>
        <row r="210">
          <cell r="C210">
            <v>337</v>
          </cell>
          <cell r="D210">
            <v>53</v>
          </cell>
          <cell r="E210">
            <v>2</v>
          </cell>
          <cell r="F210">
            <v>4.03</v>
          </cell>
          <cell r="G210">
            <v>2984322</v>
          </cell>
        </row>
        <row r="211">
          <cell r="C211">
            <v>15</v>
          </cell>
          <cell r="D211">
            <v>44</v>
          </cell>
          <cell r="E211">
            <v>2</v>
          </cell>
          <cell r="F211">
            <v>3.57</v>
          </cell>
          <cell r="G211">
            <v>1764686</v>
          </cell>
        </row>
        <row r="212">
          <cell r="C212">
            <v>759</v>
          </cell>
          <cell r="D212">
            <v>61</v>
          </cell>
          <cell r="E212">
            <v>4</v>
          </cell>
          <cell r="F212">
            <v>3.52</v>
          </cell>
          <cell r="G212">
            <v>3763106</v>
          </cell>
        </row>
        <row r="213">
          <cell r="C213">
            <v>917</v>
          </cell>
          <cell r="D213">
            <v>57</v>
          </cell>
          <cell r="E213">
            <v>5</v>
          </cell>
          <cell r="F213">
            <v>3.97</v>
          </cell>
          <cell r="G213">
            <v>3968833</v>
          </cell>
        </row>
        <row r="214">
          <cell r="C214">
            <v>965</v>
          </cell>
          <cell r="D214">
            <v>78</v>
          </cell>
          <cell r="E214">
            <v>4</v>
          </cell>
          <cell r="F214">
            <v>4.38</v>
          </cell>
          <cell r="G214">
            <v>4015459</v>
          </cell>
        </row>
        <row r="215">
          <cell r="C215">
            <v>109</v>
          </cell>
          <cell r="D215">
            <v>52</v>
          </cell>
          <cell r="E215">
            <v>2</v>
          </cell>
          <cell r="F215">
            <v>3.73</v>
          </cell>
          <cell r="G215">
            <v>3253897</v>
          </cell>
        </row>
        <row r="216">
          <cell r="C216">
            <v>613</v>
          </cell>
          <cell r="D216">
            <v>59</v>
          </cell>
          <cell r="E216">
            <v>2</v>
          </cell>
          <cell r="F216">
            <v>3.41</v>
          </cell>
          <cell r="G216">
            <v>3370348</v>
          </cell>
        </row>
        <row r="217">
          <cell r="C217">
            <v>304</v>
          </cell>
          <cell r="D217">
            <v>53</v>
          </cell>
          <cell r="E217">
            <v>1</v>
          </cell>
          <cell r="F217">
            <v>3.63</v>
          </cell>
          <cell r="G217">
            <v>3583239</v>
          </cell>
        </row>
        <row r="218">
          <cell r="C218">
            <v>262</v>
          </cell>
          <cell r="D218">
            <v>54</v>
          </cell>
          <cell r="E218">
            <v>1</v>
          </cell>
          <cell r="F218">
            <v>3.48</v>
          </cell>
          <cell r="G218">
            <v>2997887</v>
          </cell>
        </row>
        <row r="219">
          <cell r="C219">
            <v>457</v>
          </cell>
          <cell r="D219">
            <v>82</v>
          </cell>
          <cell r="E219">
            <v>2</v>
          </cell>
          <cell r="F219">
            <v>3.85</v>
          </cell>
          <cell r="G219">
            <v>3441146</v>
          </cell>
        </row>
        <row r="220">
          <cell r="C220">
            <v>275</v>
          </cell>
          <cell r="D220">
            <v>58</v>
          </cell>
          <cell r="E220">
            <v>3</v>
          </cell>
          <cell r="F220">
            <v>3.77</v>
          </cell>
          <cell r="G220">
            <v>3170435</v>
          </cell>
        </row>
        <row r="221">
          <cell r="C221">
            <v>1111</v>
          </cell>
          <cell r="D221">
            <v>74</v>
          </cell>
          <cell r="E221">
            <v>4</v>
          </cell>
          <cell r="F221">
            <v>3.92</v>
          </cell>
          <cell r="G221">
            <v>4227365</v>
          </cell>
        </row>
        <row r="222">
          <cell r="C222">
            <v>229</v>
          </cell>
          <cell r="D222">
            <v>34</v>
          </cell>
          <cell r="E222">
            <v>2</v>
          </cell>
          <cell r="F222">
            <v>3.4</v>
          </cell>
          <cell r="G222">
            <v>2285753</v>
          </cell>
        </row>
        <row r="223">
          <cell r="C223">
            <v>351</v>
          </cell>
          <cell r="D223">
            <v>42</v>
          </cell>
          <cell r="E223">
            <v>1</v>
          </cell>
          <cell r="F223">
            <v>3.16</v>
          </cell>
          <cell r="G223">
            <v>2630002</v>
          </cell>
        </row>
        <row r="224">
          <cell r="C224">
            <v>555</v>
          </cell>
          <cell r="D224">
            <v>55</v>
          </cell>
          <cell r="E224">
            <v>4</v>
          </cell>
          <cell r="F224">
            <v>4.04</v>
          </cell>
          <cell r="G224">
            <v>3551880</v>
          </cell>
        </row>
        <row r="225">
          <cell r="C225">
            <v>611</v>
          </cell>
          <cell r="D225">
            <v>55</v>
          </cell>
          <cell r="E225">
            <v>2</v>
          </cell>
          <cell r="F225">
            <v>3.46</v>
          </cell>
          <cell r="G225">
            <v>3462974</v>
          </cell>
        </row>
        <row r="226">
          <cell r="C226">
            <v>604</v>
          </cell>
          <cell r="D226">
            <v>55</v>
          </cell>
          <cell r="E226">
            <v>3</v>
          </cell>
          <cell r="F226">
            <v>3.93</v>
          </cell>
          <cell r="G226">
            <v>3522567</v>
          </cell>
        </row>
        <row r="227">
          <cell r="C227">
            <v>300</v>
          </cell>
          <cell r="D227">
            <v>51</v>
          </cell>
          <cell r="E227">
            <v>2</v>
          </cell>
          <cell r="F227">
            <v>3.64</v>
          </cell>
          <cell r="G227">
            <v>3273068</v>
          </cell>
        </row>
        <row r="228">
          <cell r="C228">
            <v>658</v>
          </cell>
          <cell r="D228">
            <v>57</v>
          </cell>
          <cell r="E228">
            <v>3</v>
          </cell>
          <cell r="F228">
            <v>3.92</v>
          </cell>
          <cell r="G228">
            <v>3700843</v>
          </cell>
        </row>
        <row r="229">
          <cell r="C229">
            <v>666</v>
          </cell>
          <cell r="D229">
            <v>70</v>
          </cell>
          <cell r="E229">
            <v>3</v>
          </cell>
          <cell r="F229">
            <v>3.57</v>
          </cell>
          <cell r="G229">
            <v>4079865</v>
          </cell>
        </row>
        <row r="230">
          <cell r="C230">
            <v>774</v>
          </cell>
          <cell r="D230">
            <v>57</v>
          </cell>
          <cell r="E230">
            <v>7</v>
          </cell>
          <cell r="F230">
            <v>3.75</v>
          </cell>
          <cell r="G230">
            <v>3907648</v>
          </cell>
        </row>
        <row r="231">
          <cell r="C231">
            <v>553</v>
          </cell>
          <cell r="D231">
            <v>74</v>
          </cell>
          <cell r="E231">
            <v>4</v>
          </cell>
          <cell r="F231">
            <v>3.9</v>
          </cell>
          <cell r="G231">
            <v>3457437</v>
          </cell>
        </row>
        <row r="232">
          <cell r="C232">
            <v>835</v>
          </cell>
          <cell r="D232">
            <v>93</v>
          </cell>
          <cell r="E232">
            <v>4</v>
          </cell>
          <cell r="F232">
            <v>3.99</v>
          </cell>
          <cell r="G232">
            <v>4634806</v>
          </cell>
        </row>
        <row r="233">
          <cell r="C233">
            <v>238</v>
          </cell>
          <cell r="D233">
            <v>42</v>
          </cell>
          <cell r="E233">
            <v>0</v>
          </cell>
          <cell r="F233">
            <v>3.37</v>
          </cell>
          <cell r="G233">
            <v>2223237</v>
          </cell>
        </row>
        <row r="234">
          <cell r="C234">
            <v>924</v>
          </cell>
          <cell r="D234">
            <v>61</v>
          </cell>
          <cell r="E234">
            <v>3</v>
          </cell>
          <cell r="F234">
            <v>3.54</v>
          </cell>
          <cell r="G234">
            <v>3852984</v>
          </cell>
        </row>
        <row r="235">
          <cell r="C235">
            <v>810</v>
          </cell>
          <cell r="D235">
            <v>73</v>
          </cell>
          <cell r="E235">
            <v>5</v>
          </cell>
          <cell r="F235">
            <v>3.98</v>
          </cell>
          <cell r="G235">
            <v>4562771</v>
          </cell>
        </row>
        <row r="236">
          <cell r="C236">
            <v>679</v>
          </cell>
          <cell r="D236">
            <v>69</v>
          </cell>
          <cell r="E236">
            <v>3</v>
          </cell>
          <cell r="F236">
            <v>3.8</v>
          </cell>
          <cell r="G236">
            <v>3586305</v>
          </cell>
        </row>
        <row r="237">
          <cell r="C237">
            <v>714</v>
          </cell>
          <cell r="D237">
            <v>67</v>
          </cell>
          <cell r="E237">
            <v>2</v>
          </cell>
          <cell r="F237">
            <v>3.74</v>
          </cell>
          <cell r="G237">
            <v>3391626</v>
          </cell>
        </row>
        <row r="238">
          <cell r="C238">
            <v>841</v>
          </cell>
          <cell r="D238">
            <v>74</v>
          </cell>
          <cell r="E238">
            <v>4</v>
          </cell>
          <cell r="F238">
            <v>3.82</v>
          </cell>
          <cell r="G238">
            <v>3852067</v>
          </cell>
        </row>
        <row r="239">
          <cell r="C239">
            <v>811</v>
          </cell>
          <cell r="D239">
            <v>52</v>
          </cell>
          <cell r="E239">
            <v>3</v>
          </cell>
          <cell r="F239">
            <v>3.77</v>
          </cell>
          <cell r="G239">
            <v>4001218</v>
          </cell>
        </row>
        <row r="240">
          <cell r="C240">
            <v>337</v>
          </cell>
          <cell r="D240">
            <v>44</v>
          </cell>
          <cell r="E240">
            <v>3</v>
          </cell>
          <cell r="F240">
            <v>3.72</v>
          </cell>
          <cell r="G240">
            <v>2756414</v>
          </cell>
        </row>
        <row r="241">
          <cell r="C241">
            <v>875</v>
          </cell>
          <cell r="D241">
            <v>72</v>
          </cell>
          <cell r="E241">
            <v>4</v>
          </cell>
          <cell r="F241">
            <v>3.7</v>
          </cell>
          <cell r="G241">
            <v>3883032</v>
          </cell>
        </row>
        <row r="242">
          <cell r="C242">
            <v>653</v>
          </cell>
          <cell r="D242">
            <v>63</v>
          </cell>
          <cell r="E242">
            <v>2</v>
          </cell>
          <cell r="F242">
            <v>3.98</v>
          </cell>
          <cell r="G242">
            <v>3636427</v>
          </cell>
        </row>
        <row r="243">
          <cell r="C243">
            <v>889</v>
          </cell>
          <cell r="D243">
            <v>70</v>
          </cell>
          <cell r="E243">
            <v>6</v>
          </cell>
          <cell r="F243">
            <v>3.85</v>
          </cell>
          <cell r="G243">
            <v>4352226</v>
          </cell>
        </row>
        <row r="244">
          <cell r="C244">
            <v>699</v>
          </cell>
          <cell r="D244">
            <v>60</v>
          </cell>
          <cell r="E244">
            <v>4</v>
          </cell>
          <cell r="F244">
            <v>3.54</v>
          </cell>
          <cell r="G244">
            <v>3931632</v>
          </cell>
        </row>
        <row r="245">
          <cell r="C245">
            <v>352</v>
          </cell>
          <cell r="D245">
            <v>36</v>
          </cell>
          <cell r="E245">
            <v>2</v>
          </cell>
          <cell r="F245">
            <v>3.45</v>
          </cell>
          <cell r="G245">
            <v>2699516</v>
          </cell>
        </row>
        <row r="246">
          <cell r="C246">
            <v>325</v>
          </cell>
          <cell r="D246">
            <v>47</v>
          </cell>
          <cell r="E246">
            <v>1</v>
          </cell>
          <cell r="F246">
            <v>3.43</v>
          </cell>
          <cell r="G246">
            <v>2519442</v>
          </cell>
        </row>
        <row r="247">
          <cell r="C247">
            <v>706</v>
          </cell>
          <cell r="D247">
            <v>76</v>
          </cell>
          <cell r="E247">
            <v>3</v>
          </cell>
          <cell r="F247">
            <v>4.28</v>
          </cell>
          <cell r="G247">
            <v>3808457</v>
          </cell>
        </row>
        <row r="248">
          <cell r="C248">
            <v>871</v>
          </cell>
          <cell r="D248">
            <v>61</v>
          </cell>
          <cell r="E248">
            <v>4</v>
          </cell>
          <cell r="F248">
            <v>3.48</v>
          </cell>
          <cell r="G248">
            <v>3957234</v>
          </cell>
        </row>
        <row r="249">
          <cell r="C249">
            <v>226</v>
          </cell>
          <cell r="D249">
            <v>57</v>
          </cell>
          <cell r="E249">
            <v>1</v>
          </cell>
          <cell r="F249">
            <v>3.36</v>
          </cell>
          <cell r="G249">
            <v>3006112</v>
          </cell>
        </row>
        <row r="250">
          <cell r="C250">
            <v>513</v>
          </cell>
          <cell r="D250">
            <v>51</v>
          </cell>
          <cell r="E250">
            <v>1</v>
          </cell>
          <cell r="F250">
            <v>3.48</v>
          </cell>
          <cell r="G250">
            <v>3005017</v>
          </cell>
        </row>
        <row r="251">
          <cell r="C251">
            <v>863</v>
          </cell>
          <cell r="D251">
            <v>76</v>
          </cell>
          <cell r="E251">
            <v>3</v>
          </cell>
          <cell r="F251">
            <v>3.87</v>
          </cell>
          <cell r="G251">
            <v>4391291</v>
          </cell>
        </row>
        <row r="252">
          <cell r="C252">
            <v>508</v>
          </cell>
          <cell r="D252">
            <v>71</v>
          </cell>
          <cell r="E252">
            <v>3</v>
          </cell>
          <cell r="F252">
            <v>3.72</v>
          </cell>
          <cell r="G252">
            <v>3956640</v>
          </cell>
        </row>
        <row r="253">
          <cell r="C253">
            <v>1045</v>
          </cell>
          <cell r="D253">
            <v>63</v>
          </cell>
          <cell r="E253">
            <v>6</v>
          </cell>
          <cell r="F253">
            <v>4.1900000000000004</v>
          </cell>
          <cell r="G253">
            <v>4287145</v>
          </cell>
        </row>
        <row r="254">
          <cell r="C254">
            <v>767</v>
          </cell>
          <cell r="D254">
            <v>69</v>
          </cell>
          <cell r="E254">
            <v>3</v>
          </cell>
          <cell r="F254">
            <v>3.67</v>
          </cell>
          <cell r="G254">
            <v>4141804</v>
          </cell>
        </row>
        <row r="255">
          <cell r="C255">
            <v>903</v>
          </cell>
          <cell r="D255">
            <v>48</v>
          </cell>
          <cell r="E255">
            <v>5</v>
          </cell>
          <cell r="F255">
            <v>3.54</v>
          </cell>
          <cell r="G255">
            <v>3403799</v>
          </cell>
        </row>
        <row r="256">
          <cell r="C256">
            <v>429</v>
          </cell>
          <cell r="D256">
            <v>42</v>
          </cell>
          <cell r="E256">
            <v>4</v>
          </cell>
          <cell r="F256">
            <v>3.3</v>
          </cell>
          <cell r="G256">
            <v>3247778</v>
          </cell>
        </row>
        <row r="257">
          <cell r="C257">
            <v>1056</v>
          </cell>
          <cell r="D257">
            <v>71</v>
          </cell>
          <cell r="E257">
            <v>2</v>
          </cell>
          <cell r="F257">
            <v>4.1900000000000004</v>
          </cell>
          <cell r="G257">
            <v>4506473</v>
          </cell>
        </row>
        <row r="258">
          <cell r="C258">
            <v>792</v>
          </cell>
          <cell r="D258">
            <v>70</v>
          </cell>
          <cell r="E258">
            <v>2</v>
          </cell>
          <cell r="F258">
            <v>3.87</v>
          </cell>
          <cell r="G258">
            <v>4110974</v>
          </cell>
        </row>
        <row r="259">
          <cell r="C259">
            <v>699</v>
          </cell>
          <cell r="D259">
            <v>61</v>
          </cell>
          <cell r="E259">
            <v>2</v>
          </cell>
          <cell r="F259">
            <v>3.44</v>
          </cell>
          <cell r="G259">
            <v>3240183</v>
          </cell>
        </row>
        <row r="260">
          <cell r="C260">
            <v>800</v>
          </cell>
          <cell r="D260">
            <v>67</v>
          </cell>
          <cell r="E260">
            <v>5</v>
          </cell>
          <cell r="F260">
            <v>4.1900000000000004</v>
          </cell>
          <cell r="G260">
            <v>4245734</v>
          </cell>
        </row>
        <row r="261">
          <cell r="C261">
            <v>680</v>
          </cell>
          <cell r="D261">
            <v>67</v>
          </cell>
          <cell r="E261">
            <v>2</v>
          </cell>
          <cell r="F261">
            <v>4.07</v>
          </cell>
          <cell r="G261">
            <v>3567945</v>
          </cell>
        </row>
        <row r="262">
          <cell r="C262">
            <v>955</v>
          </cell>
          <cell r="D262">
            <v>70</v>
          </cell>
          <cell r="E262">
            <v>2</v>
          </cell>
          <cell r="F262">
            <v>3.85</v>
          </cell>
          <cell r="G262">
            <v>4162336</v>
          </cell>
        </row>
        <row r="263">
          <cell r="C263">
            <v>588</v>
          </cell>
          <cell r="D263">
            <v>64</v>
          </cell>
          <cell r="E263">
            <v>4</v>
          </cell>
          <cell r="F263">
            <v>3.71</v>
          </cell>
          <cell r="G263">
            <v>3803201</v>
          </cell>
        </row>
        <row r="264">
          <cell r="C264">
            <v>549</v>
          </cell>
          <cell r="D264">
            <v>67</v>
          </cell>
          <cell r="E264">
            <v>2</v>
          </cell>
          <cell r="F264">
            <v>3.48</v>
          </cell>
          <cell r="G264">
            <v>3386957</v>
          </cell>
        </row>
        <row r="265">
          <cell r="C265">
            <v>568</v>
          </cell>
          <cell r="D265">
            <v>55</v>
          </cell>
          <cell r="E265">
            <v>2</v>
          </cell>
          <cell r="F265">
            <v>3.43</v>
          </cell>
          <cell r="G265">
            <v>3278902</v>
          </cell>
        </row>
        <row r="266">
          <cell r="C266">
            <v>671</v>
          </cell>
          <cell r="D266">
            <v>47</v>
          </cell>
          <cell r="E266">
            <v>2</v>
          </cell>
          <cell r="F266">
            <v>3.32</v>
          </cell>
          <cell r="G266">
            <v>3502460</v>
          </cell>
        </row>
        <row r="267">
          <cell r="C267">
            <v>632</v>
          </cell>
          <cell r="D267">
            <v>48</v>
          </cell>
          <cell r="E267">
            <v>2</v>
          </cell>
          <cell r="F267">
            <v>3.52</v>
          </cell>
          <cell r="G267">
            <v>3551269</v>
          </cell>
        </row>
        <row r="268">
          <cell r="C268">
            <v>151</v>
          </cell>
          <cell r="D268">
            <v>39</v>
          </cell>
          <cell r="E268">
            <v>2</v>
          </cell>
          <cell r="F268">
            <v>3.45</v>
          </cell>
          <cell r="G268">
            <v>2335397</v>
          </cell>
        </row>
        <row r="269">
          <cell r="C269">
            <v>890</v>
          </cell>
          <cell r="D269">
            <v>48</v>
          </cell>
          <cell r="E269">
            <v>5</v>
          </cell>
          <cell r="F269">
            <v>3.63</v>
          </cell>
          <cell r="G269">
            <v>3740531</v>
          </cell>
        </row>
        <row r="270">
          <cell r="C270">
            <v>377</v>
          </cell>
          <cell r="D270">
            <v>58</v>
          </cell>
          <cell r="E270">
            <v>3</v>
          </cell>
          <cell r="F270">
            <v>3.76</v>
          </cell>
          <cell r="G270">
            <v>3027209</v>
          </cell>
        </row>
        <row r="271">
          <cell r="C271">
            <v>492</v>
          </cell>
          <cell r="D271">
            <v>69</v>
          </cell>
          <cell r="E271">
            <v>1</v>
          </cell>
          <cell r="F271">
            <v>4.03</v>
          </cell>
          <cell r="G271">
            <v>3177951</v>
          </cell>
        </row>
        <row r="272">
          <cell r="C272">
            <v>524</v>
          </cell>
          <cell r="D272">
            <v>49</v>
          </cell>
          <cell r="E272">
            <v>3</v>
          </cell>
          <cell r="F272">
            <v>3.76</v>
          </cell>
          <cell r="G272">
            <v>3336075</v>
          </cell>
        </row>
        <row r="273">
          <cell r="C273">
            <v>805</v>
          </cell>
          <cell r="D273">
            <v>53</v>
          </cell>
          <cell r="E273">
            <v>5</v>
          </cell>
          <cell r="F273">
            <v>3.12</v>
          </cell>
          <cell r="G273">
            <v>3807758</v>
          </cell>
        </row>
        <row r="274">
          <cell r="C274">
            <v>84</v>
          </cell>
          <cell r="D274">
            <v>60</v>
          </cell>
          <cell r="E274">
            <v>1</v>
          </cell>
          <cell r="F274">
            <v>3.46</v>
          </cell>
          <cell r="G274">
            <v>2661619</v>
          </cell>
        </row>
        <row r="275">
          <cell r="C275">
            <v>263</v>
          </cell>
          <cell r="D275">
            <v>47</v>
          </cell>
          <cell r="E275">
            <v>2</v>
          </cell>
          <cell r="F275">
            <v>3.9</v>
          </cell>
          <cell r="G275">
            <v>3202019</v>
          </cell>
        </row>
        <row r="276">
          <cell r="C276">
            <v>1213</v>
          </cell>
          <cell r="D276">
            <v>78</v>
          </cell>
          <cell r="E276">
            <v>4</v>
          </cell>
          <cell r="F276">
            <v>3.81</v>
          </cell>
          <cell r="G276">
            <v>4853867</v>
          </cell>
        </row>
        <row r="277">
          <cell r="C277">
            <v>942</v>
          </cell>
          <cell r="D277">
            <v>76</v>
          </cell>
          <cell r="E277">
            <v>4</v>
          </cell>
          <cell r="F277">
            <v>4.2</v>
          </cell>
          <cell r="G277">
            <v>4313541</v>
          </cell>
        </row>
        <row r="278">
          <cell r="C278">
            <v>1044</v>
          </cell>
          <cell r="D278">
            <v>72</v>
          </cell>
          <cell r="E278">
            <v>3</v>
          </cell>
          <cell r="F278">
            <v>3.92</v>
          </cell>
          <cell r="G278">
            <v>4611334</v>
          </cell>
        </row>
        <row r="279">
          <cell r="C279">
            <v>543</v>
          </cell>
          <cell r="D279">
            <v>56</v>
          </cell>
          <cell r="E279">
            <v>5</v>
          </cell>
          <cell r="F279">
            <v>3.97</v>
          </cell>
          <cell r="G279">
            <v>3604973</v>
          </cell>
        </row>
        <row r="280">
          <cell r="C280">
            <v>920</v>
          </cell>
          <cell r="D280">
            <v>73</v>
          </cell>
          <cell r="E280">
            <v>4</v>
          </cell>
          <cell r="F280">
            <v>3.74</v>
          </cell>
          <cell r="G280">
            <v>4176190</v>
          </cell>
        </row>
        <row r="281">
          <cell r="C281">
            <v>558</v>
          </cell>
          <cell r="D281">
            <v>55</v>
          </cell>
          <cell r="E281">
            <v>4</v>
          </cell>
          <cell r="F281">
            <v>3.61</v>
          </cell>
          <cell r="G281">
            <v>3460507</v>
          </cell>
        </row>
        <row r="282">
          <cell r="C282">
            <v>499</v>
          </cell>
          <cell r="D282">
            <v>51</v>
          </cell>
          <cell r="E282">
            <v>1</v>
          </cell>
          <cell r="F282">
            <v>2.89</v>
          </cell>
          <cell r="G282">
            <v>2963010</v>
          </cell>
        </row>
        <row r="283">
          <cell r="C283">
            <v>154</v>
          </cell>
          <cell r="D283">
            <v>33</v>
          </cell>
          <cell r="E283">
            <v>2</v>
          </cell>
          <cell r="F283">
            <v>3.7</v>
          </cell>
          <cell r="G283">
            <v>2117483</v>
          </cell>
        </row>
        <row r="284">
          <cell r="C284">
            <v>589</v>
          </cell>
          <cell r="D284">
            <v>60</v>
          </cell>
          <cell r="E284">
            <v>3</v>
          </cell>
          <cell r="F284">
            <v>4.0199999999999996</v>
          </cell>
          <cell r="G284">
            <v>3673207</v>
          </cell>
        </row>
        <row r="285">
          <cell r="C285">
            <v>542</v>
          </cell>
          <cell r="D285">
            <v>46</v>
          </cell>
          <cell r="E285">
            <v>1</v>
          </cell>
          <cell r="F285">
            <v>3.26</v>
          </cell>
          <cell r="G285">
            <v>2474236</v>
          </cell>
        </row>
        <row r="286">
          <cell r="C286">
            <v>52</v>
          </cell>
          <cell r="D286">
            <v>36</v>
          </cell>
          <cell r="E286">
            <v>2</v>
          </cell>
          <cell r="F286">
            <v>3.23</v>
          </cell>
          <cell r="G286">
            <v>1923434</v>
          </cell>
        </row>
        <row r="287">
          <cell r="C287">
            <v>368</v>
          </cell>
          <cell r="D287">
            <v>71</v>
          </cell>
          <cell r="E287">
            <v>1</v>
          </cell>
          <cell r="F287">
            <v>3.97</v>
          </cell>
          <cell r="G287">
            <v>3119917</v>
          </cell>
        </row>
        <row r="288">
          <cell r="C288">
            <v>535</v>
          </cell>
          <cell r="D288">
            <v>50</v>
          </cell>
          <cell r="E288">
            <v>2</v>
          </cell>
          <cell r="F288">
            <v>4.13</v>
          </cell>
          <cell r="G288">
            <v>3614936</v>
          </cell>
        </row>
        <row r="289">
          <cell r="C289">
            <v>320</v>
          </cell>
          <cell r="D289">
            <v>71</v>
          </cell>
          <cell r="E289">
            <v>2</v>
          </cell>
          <cell r="F289">
            <v>4.4400000000000004</v>
          </cell>
          <cell r="G289">
            <v>3180575</v>
          </cell>
        </row>
        <row r="290">
          <cell r="C290">
            <v>796</v>
          </cell>
          <cell r="D290">
            <v>71</v>
          </cell>
          <cell r="E290">
            <v>3</v>
          </cell>
          <cell r="F290">
            <v>3.5</v>
          </cell>
          <cell r="G290">
            <v>4232529</v>
          </cell>
        </row>
        <row r="291">
          <cell r="C291">
            <v>527</v>
          </cell>
          <cell r="D291">
            <v>69</v>
          </cell>
          <cell r="E291">
            <v>2</v>
          </cell>
          <cell r="F291">
            <v>4.24</v>
          </cell>
          <cell r="G291">
            <v>2859970</v>
          </cell>
        </row>
        <row r="292">
          <cell r="C292">
            <v>685</v>
          </cell>
          <cell r="D292">
            <v>66</v>
          </cell>
          <cell r="E292">
            <v>4</v>
          </cell>
          <cell r="F292">
            <v>3.75</v>
          </cell>
          <cell r="G292">
            <v>3895927</v>
          </cell>
        </row>
        <row r="293">
          <cell r="C293">
            <v>905</v>
          </cell>
          <cell r="D293">
            <v>50</v>
          </cell>
          <cell r="E293">
            <v>4</v>
          </cell>
          <cell r="F293">
            <v>3.82</v>
          </cell>
          <cell r="G293">
            <v>3804196</v>
          </cell>
        </row>
        <row r="294">
          <cell r="C294">
            <v>701</v>
          </cell>
          <cell r="D294">
            <v>60</v>
          </cell>
          <cell r="E294">
            <v>2</v>
          </cell>
          <cell r="F294">
            <v>3.65</v>
          </cell>
          <cell r="G294">
            <v>3440061</v>
          </cell>
        </row>
        <row r="295">
          <cell r="C295">
            <v>266</v>
          </cell>
          <cell r="D295">
            <v>35</v>
          </cell>
          <cell r="E295">
            <v>3</v>
          </cell>
          <cell r="F295">
            <v>3.16</v>
          </cell>
          <cell r="G295">
            <v>2516109</v>
          </cell>
        </row>
        <row r="296">
          <cell r="C296">
            <v>781</v>
          </cell>
          <cell r="D296">
            <v>57</v>
          </cell>
          <cell r="E296">
            <v>5</v>
          </cell>
          <cell r="F296">
            <v>3.61</v>
          </cell>
          <cell r="G296">
            <v>3633847</v>
          </cell>
        </row>
        <row r="297">
          <cell r="C297">
            <v>463</v>
          </cell>
          <cell r="D297">
            <v>70</v>
          </cell>
          <cell r="E297">
            <v>2</v>
          </cell>
          <cell r="F297">
            <v>4.1900000000000004</v>
          </cell>
          <cell r="G297">
            <v>3114125</v>
          </cell>
        </row>
        <row r="298">
          <cell r="C298">
            <v>194</v>
          </cell>
          <cell r="D298">
            <v>45</v>
          </cell>
          <cell r="E298">
            <v>0</v>
          </cell>
          <cell r="F298">
            <v>3.56</v>
          </cell>
          <cell r="G298">
            <v>1545117</v>
          </cell>
        </row>
        <row r="299">
          <cell r="C299">
            <v>555</v>
          </cell>
          <cell r="D299">
            <v>47</v>
          </cell>
          <cell r="E299">
            <v>3</v>
          </cell>
          <cell r="F299">
            <v>3.17</v>
          </cell>
          <cell r="G299">
            <v>2963368</v>
          </cell>
        </row>
        <row r="300">
          <cell r="C300">
            <v>724</v>
          </cell>
          <cell r="D300">
            <v>62</v>
          </cell>
          <cell r="E300">
            <v>3</v>
          </cell>
          <cell r="F300">
            <v>3.9</v>
          </cell>
          <cell r="G300">
            <v>3194061</v>
          </cell>
        </row>
        <row r="301">
          <cell r="C301">
            <v>709</v>
          </cell>
          <cell r="D301">
            <v>61</v>
          </cell>
          <cell r="E301">
            <v>3</v>
          </cell>
          <cell r="F301">
            <v>4.16</v>
          </cell>
          <cell r="G301">
            <v>4000662</v>
          </cell>
        </row>
        <row r="302">
          <cell r="C302">
            <v>200</v>
          </cell>
          <cell r="D302">
            <v>53</v>
          </cell>
          <cell r="E302">
            <v>1</v>
          </cell>
          <cell r="F302">
            <v>3.53</v>
          </cell>
          <cell r="G302">
            <v>2184635</v>
          </cell>
        </row>
        <row r="303">
          <cell r="C303">
            <v>613</v>
          </cell>
          <cell r="D303">
            <v>70</v>
          </cell>
          <cell r="E303">
            <v>4</v>
          </cell>
          <cell r="F303">
            <v>4.3499999999999996</v>
          </cell>
          <cell r="G303">
            <v>4009082</v>
          </cell>
        </row>
        <row r="304">
          <cell r="C304">
            <v>860</v>
          </cell>
          <cell r="D304">
            <v>55</v>
          </cell>
          <cell r="E304">
            <v>3</v>
          </cell>
          <cell r="F304">
            <v>3.73</v>
          </cell>
          <cell r="G304">
            <v>3966933</v>
          </cell>
        </row>
        <row r="305">
          <cell r="C305">
            <v>440</v>
          </cell>
          <cell r="D305">
            <v>45</v>
          </cell>
          <cell r="E305">
            <v>3</v>
          </cell>
          <cell r="F305">
            <v>3.45</v>
          </cell>
          <cell r="G305">
            <v>2763143</v>
          </cell>
        </row>
        <row r="306">
          <cell r="C306">
            <v>611</v>
          </cell>
          <cell r="D306">
            <v>43</v>
          </cell>
          <cell r="E306">
            <v>4</v>
          </cell>
          <cell r="F306">
            <v>3.73</v>
          </cell>
          <cell r="G306">
            <v>2918064</v>
          </cell>
        </row>
        <row r="307">
          <cell r="C307">
            <v>626</v>
          </cell>
          <cell r="D307">
            <v>73</v>
          </cell>
          <cell r="E307">
            <v>5</v>
          </cell>
          <cell r="F307">
            <v>3.89</v>
          </cell>
          <cell r="G307">
            <v>3944171</v>
          </cell>
        </row>
        <row r="308">
          <cell r="C308">
            <v>653</v>
          </cell>
          <cell r="D308">
            <v>83</v>
          </cell>
          <cell r="E308">
            <v>3</v>
          </cell>
          <cell r="F308">
            <v>3.81</v>
          </cell>
          <cell r="G308">
            <v>4235497</v>
          </cell>
        </row>
        <row r="309">
          <cell r="C309">
            <v>890</v>
          </cell>
          <cell r="D309">
            <v>63</v>
          </cell>
          <cell r="E309">
            <v>3</v>
          </cell>
          <cell r="F309">
            <v>3.84</v>
          </cell>
          <cell r="G309">
            <v>3942077</v>
          </cell>
        </row>
        <row r="310">
          <cell r="C310">
            <v>645</v>
          </cell>
          <cell r="D310">
            <v>58</v>
          </cell>
          <cell r="E310">
            <v>3</v>
          </cell>
          <cell r="F310">
            <v>3.71</v>
          </cell>
          <cell r="G310">
            <v>3375576</v>
          </cell>
        </row>
        <row r="311">
          <cell r="C311">
            <v>286</v>
          </cell>
          <cell r="D311">
            <v>46</v>
          </cell>
          <cell r="E311">
            <v>3</v>
          </cell>
          <cell r="F311">
            <v>3.94</v>
          </cell>
          <cell r="G311">
            <v>3802378</v>
          </cell>
        </row>
        <row r="312">
          <cell r="C312">
            <v>346</v>
          </cell>
          <cell r="D312">
            <v>48</v>
          </cell>
          <cell r="E312">
            <v>4</v>
          </cell>
          <cell r="F312">
            <v>3.31</v>
          </cell>
          <cell r="G312">
            <v>3085094</v>
          </cell>
        </row>
        <row r="313">
          <cell r="C313">
            <v>668</v>
          </cell>
          <cell r="D313">
            <v>57</v>
          </cell>
          <cell r="E313">
            <v>5</v>
          </cell>
          <cell r="F313">
            <v>3.42</v>
          </cell>
          <cell r="G313">
            <v>3744661</v>
          </cell>
        </row>
        <row r="314">
          <cell r="C314">
            <v>108</v>
          </cell>
          <cell r="D314">
            <v>46</v>
          </cell>
          <cell r="E314">
            <v>1</v>
          </cell>
          <cell r="F314">
            <v>3.39</v>
          </cell>
          <cell r="G314">
            <v>2550091</v>
          </cell>
        </row>
        <row r="315">
          <cell r="C315">
            <v>610</v>
          </cell>
          <cell r="D315">
            <v>64</v>
          </cell>
          <cell r="E315">
            <v>3</v>
          </cell>
          <cell r="F315">
            <v>3.65</v>
          </cell>
          <cell r="G315">
            <v>3686602</v>
          </cell>
        </row>
        <row r="316">
          <cell r="C316">
            <v>632</v>
          </cell>
          <cell r="D316">
            <v>68</v>
          </cell>
          <cell r="E316">
            <v>4</v>
          </cell>
          <cell r="F316">
            <v>3.88</v>
          </cell>
          <cell r="G316">
            <v>4027173</v>
          </cell>
        </row>
        <row r="317">
          <cell r="C317">
            <v>734</v>
          </cell>
          <cell r="D317">
            <v>59</v>
          </cell>
          <cell r="E317">
            <v>4</v>
          </cell>
          <cell r="F317">
            <v>3.75</v>
          </cell>
          <cell r="G317">
            <v>3196905</v>
          </cell>
        </row>
        <row r="318">
          <cell r="C318">
            <v>508</v>
          </cell>
          <cell r="D318">
            <v>62</v>
          </cell>
          <cell r="E318">
            <v>4</v>
          </cell>
          <cell r="F318">
            <v>3.72</v>
          </cell>
          <cell r="G318">
            <v>3522685</v>
          </cell>
        </row>
        <row r="319">
          <cell r="C319">
            <v>628</v>
          </cell>
          <cell r="D319">
            <v>48</v>
          </cell>
          <cell r="E319">
            <v>4</v>
          </cell>
          <cell r="F319">
            <v>3.42</v>
          </cell>
          <cell r="G319">
            <v>3728216</v>
          </cell>
        </row>
        <row r="320">
          <cell r="C320">
            <v>424</v>
          </cell>
          <cell r="D320">
            <v>47</v>
          </cell>
          <cell r="E320">
            <v>3</v>
          </cell>
          <cell r="F320">
            <v>3.86</v>
          </cell>
          <cell r="G320">
            <v>2822272</v>
          </cell>
        </row>
        <row r="321">
          <cell r="C321">
            <v>413</v>
          </cell>
          <cell r="D321">
            <v>65</v>
          </cell>
          <cell r="E321">
            <v>2</v>
          </cell>
          <cell r="F321">
            <v>3.76</v>
          </cell>
          <cell r="G321">
            <v>3451036</v>
          </cell>
        </row>
        <row r="322">
          <cell r="C322">
            <v>848</v>
          </cell>
          <cell r="D322">
            <v>53</v>
          </cell>
          <cell r="E322">
            <v>4</v>
          </cell>
          <cell r="F322">
            <v>3.31</v>
          </cell>
          <cell r="G322">
            <v>3881010</v>
          </cell>
        </row>
        <row r="323">
          <cell r="C323">
            <v>465</v>
          </cell>
          <cell r="D323">
            <v>40</v>
          </cell>
          <cell r="E323">
            <v>2</v>
          </cell>
          <cell r="F323">
            <v>3.69</v>
          </cell>
          <cell r="G323">
            <v>3005481</v>
          </cell>
        </row>
        <row r="324">
          <cell r="C324">
            <v>695</v>
          </cell>
          <cell r="D324">
            <v>51</v>
          </cell>
          <cell r="E324">
            <v>4</v>
          </cell>
          <cell r="F324">
            <v>3.9</v>
          </cell>
          <cell r="G324">
            <v>3201514</v>
          </cell>
        </row>
        <row r="325">
          <cell r="C325">
            <v>891</v>
          </cell>
          <cell r="D325">
            <v>64</v>
          </cell>
          <cell r="E325">
            <v>6</v>
          </cell>
          <cell r="F325">
            <v>3.94</v>
          </cell>
          <cell r="G325">
            <v>3892763</v>
          </cell>
        </row>
        <row r="326">
          <cell r="C326">
            <v>1022</v>
          </cell>
          <cell r="D326">
            <v>78</v>
          </cell>
          <cell r="E326">
            <v>5</v>
          </cell>
          <cell r="F326">
            <v>4.1500000000000004</v>
          </cell>
          <cell r="G326">
            <v>4296490</v>
          </cell>
        </row>
        <row r="327">
          <cell r="C327">
            <v>975</v>
          </cell>
          <cell r="D327">
            <v>69</v>
          </cell>
          <cell r="E327">
            <v>3</v>
          </cell>
          <cell r="F327">
            <v>4.03</v>
          </cell>
          <cell r="G327">
            <v>3866090</v>
          </cell>
        </row>
        <row r="328">
          <cell r="C328">
            <v>453</v>
          </cell>
          <cell r="D328">
            <v>69</v>
          </cell>
          <cell r="E328">
            <v>2</v>
          </cell>
          <cell r="F328">
            <v>3.54</v>
          </cell>
          <cell r="G328">
            <v>3389026</v>
          </cell>
        </row>
        <row r="329">
          <cell r="C329">
            <v>226</v>
          </cell>
          <cell r="D329">
            <v>56</v>
          </cell>
          <cell r="E329">
            <v>1</v>
          </cell>
          <cell r="F329">
            <v>3.53</v>
          </cell>
          <cell r="G329">
            <v>2555449</v>
          </cell>
        </row>
        <row r="330">
          <cell r="C330">
            <v>533</v>
          </cell>
          <cell r="D330">
            <v>59</v>
          </cell>
          <cell r="E330">
            <v>4</v>
          </cell>
          <cell r="F330">
            <v>4.3</v>
          </cell>
          <cell r="G330">
            <v>3342284</v>
          </cell>
        </row>
        <row r="331">
          <cell r="C331">
            <v>489</v>
          </cell>
          <cell r="D331">
            <v>69</v>
          </cell>
          <cell r="E331">
            <v>3</v>
          </cell>
          <cell r="F331">
            <v>3.53</v>
          </cell>
          <cell r="G331">
            <v>2859236</v>
          </cell>
        </row>
        <row r="332">
          <cell r="C332">
            <v>590</v>
          </cell>
          <cell r="D332">
            <v>54</v>
          </cell>
          <cell r="E332">
            <v>4</v>
          </cell>
          <cell r="F332">
            <v>3.8</v>
          </cell>
          <cell r="G332">
            <v>3046531</v>
          </cell>
        </row>
        <row r="333">
          <cell r="C333">
            <v>540</v>
          </cell>
          <cell r="D333">
            <v>31</v>
          </cell>
          <cell r="E333">
            <v>2</v>
          </cell>
          <cell r="F333">
            <v>3.05</v>
          </cell>
          <cell r="G333">
            <v>2738358</v>
          </cell>
        </row>
        <row r="334">
          <cell r="C334">
            <v>574</v>
          </cell>
          <cell r="D334">
            <v>63</v>
          </cell>
          <cell r="E334">
            <v>2</v>
          </cell>
          <cell r="F334">
            <v>3.91</v>
          </cell>
          <cell r="G334">
            <v>2668032</v>
          </cell>
        </row>
        <row r="335">
          <cell r="C335">
            <v>144</v>
          </cell>
          <cell r="D335">
            <v>44</v>
          </cell>
          <cell r="E335">
            <v>1</v>
          </cell>
          <cell r="F335">
            <v>3.77</v>
          </cell>
          <cell r="G335">
            <v>2313527</v>
          </cell>
        </row>
        <row r="336">
          <cell r="C336">
            <v>689</v>
          </cell>
          <cell r="D336">
            <v>80</v>
          </cell>
          <cell r="E336">
            <v>4</v>
          </cell>
          <cell r="F336">
            <v>4.3</v>
          </cell>
          <cell r="G336">
            <v>4046858</v>
          </cell>
        </row>
        <row r="337">
          <cell r="C337">
            <v>1081</v>
          </cell>
          <cell r="D337">
            <v>87</v>
          </cell>
          <cell r="E337">
            <v>6</v>
          </cell>
          <cell r="F337">
            <v>4.16</v>
          </cell>
          <cell r="G337">
            <v>5559697</v>
          </cell>
        </row>
        <row r="338">
          <cell r="C338">
            <v>1057</v>
          </cell>
          <cell r="D338">
            <v>74</v>
          </cell>
          <cell r="E338">
            <v>5</v>
          </cell>
          <cell r="F338">
            <v>4.03</v>
          </cell>
          <cell r="G338">
            <v>4374255</v>
          </cell>
        </row>
        <row r="339">
          <cell r="C339">
            <v>759</v>
          </cell>
          <cell r="D339">
            <v>56</v>
          </cell>
          <cell r="E339">
            <v>4</v>
          </cell>
          <cell r="F339">
            <v>3.66</v>
          </cell>
          <cell r="G339">
            <v>4264291</v>
          </cell>
        </row>
        <row r="340">
          <cell r="C340">
            <v>787</v>
          </cell>
          <cell r="D340">
            <v>83</v>
          </cell>
          <cell r="E340">
            <v>3</v>
          </cell>
          <cell r="F340">
            <v>4.04</v>
          </cell>
          <cell r="G340">
            <v>4502996</v>
          </cell>
        </row>
        <row r="341">
          <cell r="C341">
            <v>412</v>
          </cell>
          <cell r="D341">
            <v>55</v>
          </cell>
          <cell r="E341">
            <v>2</v>
          </cell>
          <cell r="F341">
            <v>3.87</v>
          </cell>
          <cell r="G341">
            <v>2982708</v>
          </cell>
        </row>
        <row r="342">
          <cell r="C342">
            <v>491</v>
          </cell>
          <cell r="D342">
            <v>77</v>
          </cell>
          <cell r="E342">
            <v>3</v>
          </cell>
          <cell r="F342">
            <v>3.51</v>
          </cell>
          <cell r="G342">
            <v>3416340</v>
          </cell>
        </row>
        <row r="343">
          <cell r="C343">
            <v>1170</v>
          </cell>
          <cell r="D343">
            <v>73</v>
          </cell>
          <cell r="E343">
            <v>4</v>
          </cell>
          <cell r="F343">
            <v>4.26</v>
          </cell>
          <cell r="G343">
            <v>4421136</v>
          </cell>
        </row>
        <row r="344">
          <cell r="C344">
            <v>690</v>
          </cell>
          <cell r="D344">
            <v>53</v>
          </cell>
          <cell r="E344">
            <v>4</v>
          </cell>
          <cell r="F344">
            <v>3.67</v>
          </cell>
          <cell r="G344">
            <v>3235678</v>
          </cell>
        </row>
        <row r="345">
          <cell r="C345">
            <v>934</v>
          </cell>
          <cell r="D345">
            <v>79</v>
          </cell>
          <cell r="E345">
            <v>4</v>
          </cell>
          <cell r="F345">
            <v>3.85</v>
          </cell>
          <cell r="G345">
            <v>4187044</v>
          </cell>
        </row>
        <row r="346">
          <cell r="C346">
            <v>634</v>
          </cell>
          <cell r="D346">
            <v>58</v>
          </cell>
          <cell r="E346">
            <v>2</v>
          </cell>
          <cell r="F346">
            <v>3.88</v>
          </cell>
          <cell r="G346">
            <v>3309603</v>
          </cell>
        </row>
        <row r="347">
          <cell r="C347">
            <v>753</v>
          </cell>
          <cell r="D347">
            <v>63</v>
          </cell>
          <cell r="E347">
            <v>5</v>
          </cell>
          <cell r="F347">
            <v>3.91</v>
          </cell>
          <cell r="G347">
            <v>4376190</v>
          </cell>
        </row>
        <row r="348">
          <cell r="C348">
            <v>808</v>
          </cell>
          <cell r="D348">
            <v>82</v>
          </cell>
          <cell r="E348">
            <v>3</v>
          </cell>
          <cell r="F348">
            <v>4.04</v>
          </cell>
          <cell r="G348">
            <v>3573056</v>
          </cell>
        </row>
        <row r="349">
          <cell r="C349">
            <v>776</v>
          </cell>
          <cell r="D349">
            <v>64</v>
          </cell>
          <cell r="E349">
            <v>5</v>
          </cell>
          <cell r="F349">
            <v>4.18</v>
          </cell>
          <cell r="G349">
            <v>3958741</v>
          </cell>
        </row>
        <row r="350">
          <cell r="C350">
            <v>343</v>
          </cell>
          <cell r="D350">
            <v>49</v>
          </cell>
          <cell r="E350">
            <v>2</v>
          </cell>
          <cell r="F350">
            <v>3.17</v>
          </cell>
          <cell r="G350">
            <v>2917343</v>
          </cell>
        </row>
        <row r="351">
          <cell r="C351">
            <v>550</v>
          </cell>
          <cell r="D351">
            <v>57</v>
          </cell>
          <cell r="E351">
            <v>3</v>
          </cell>
          <cell r="F351">
            <v>3.43</v>
          </cell>
          <cell r="G351">
            <v>3101219</v>
          </cell>
        </row>
        <row r="352">
          <cell r="C352">
            <v>1156</v>
          </cell>
          <cell r="D352">
            <v>69</v>
          </cell>
          <cell r="E352">
            <v>5</v>
          </cell>
          <cell r="F352">
            <v>3.61</v>
          </cell>
          <cell r="G352">
            <v>4427997</v>
          </cell>
        </row>
        <row r="353">
          <cell r="C353">
            <v>604</v>
          </cell>
          <cell r="D353">
            <v>56</v>
          </cell>
          <cell r="E353">
            <v>1</v>
          </cell>
          <cell r="F353">
            <v>3.8</v>
          </cell>
          <cell r="G353">
            <v>2728355</v>
          </cell>
        </row>
        <row r="354">
          <cell r="C354">
            <v>918</v>
          </cell>
          <cell r="D354">
            <v>69</v>
          </cell>
          <cell r="E354">
            <v>4</v>
          </cell>
          <cell r="F354">
            <v>3.86</v>
          </cell>
          <cell r="G354">
            <v>4133840</v>
          </cell>
        </row>
        <row r="355">
          <cell r="C355">
            <v>580</v>
          </cell>
          <cell r="D355">
            <v>60</v>
          </cell>
          <cell r="E355">
            <v>2</v>
          </cell>
          <cell r="F355">
            <v>3.81</v>
          </cell>
          <cell r="G355">
            <v>2908205</v>
          </cell>
        </row>
        <row r="356">
          <cell r="C356">
            <v>303</v>
          </cell>
          <cell r="D356">
            <v>48</v>
          </cell>
          <cell r="E356">
            <v>0</v>
          </cell>
          <cell r="F356">
            <v>3.48</v>
          </cell>
          <cell r="G356">
            <v>2486772</v>
          </cell>
        </row>
        <row r="357">
          <cell r="C357">
            <v>401</v>
          </cell>
          <cell r="D357">
            <v>30</v>
          </cell>
          <cell r="E357">
            <v>4</v>
          </cell>
          <cell r="F357">
            <v>3.75</v>
          </cell>
          <cell r="G357">
            <v>2754749</v>
          </cell>
        </row>
        <row r="358">
          <cell r="C358">
            <v>227</v>
          </cell>
          <cell r="D358">
            <v>49</v>
          </cell>
          <cell r="E358">
            <v>1</v>
          </cell>
          <cell r="F358">
            <v>3.63</v>
          </cell>
          <cell r="G358">
            <v>2412616</v>
          </cell>
        </row>
        <row r="359">
          <cell r="C359">
            <v>146</v>
          </cell>
          <cell r="D359">
            <v>80</v>
          </cell>
          <cell r="E359">
            <v>0</v>
          </cell>
          <cell r="F359">
            <v>3.5</v>
          </cell>
          <cell r="G359">
            <v>2541357</v>
          </cell>
        </row>
        <row r="360">
          <cell r="C360">
            <v>524</v>
          </cell>
          <cell r="D360">
            <v>56</v>
          </cell>
          <cell r="E360">
            <v>6</v>
          </cell>
          <cell r="F360">
            <v>3.5</v>
          </cell>
          <cell r="G360">
            <v>3512751</v>
          </cell>
        </row>
        <row r="361">
          <cell r="C361">
            <v>418</v>
          </cell>
          <cell r="D361">
            <v>53</v>
          </cell>
          <cell r="E361">
            <v>3</v>
          </cell>
          <cell r="F361">
            <v>3.97</v>
          </cell>
          <cell r="G361">
            <v>2858737</v>
          </cell>
        </row>
        <row r="362">
          <cell r="C362">
            <v>254</v>
          </cell>
          <cell r="D362">
            <v>50</v>
          </cell>
          <cell r="E362">
            <v>1</v>
          </cell>
          <cell r="F362">
            <v>3.41</v>
          </cell>
          <cell r="G362">
            <v>2826266</v>
          </cell>
        </row>
        <row r="363">
          <cell r="C363">
            <v>405</v>
          </cell>
          <cell r="D363">
            <v>63</v>
          </cell>
          <cell r="E363">
            <v>2</v>
          </cell>
          <cell r="F363">
            <v>3.87</v>
          </cell>
          <cell r="G363">
            <v>2811595</v>
          </cell>
        </row>
        <row r="364">
          <cell r="C364">
            <v>455</v>
          </cell>
          <cell r="D364">
            <v>70</v>
          </cell>
          <cell r="E364">
            <v>3</v>
          </cell>
          <cell r="F364">
            <v>3.74</v>
          </cell>
          <cell r="G364">
            <v>3727610</v>
          </cell>
        </row>
        <row r="365">
          <cell r="C365">
            <v>730</v>
          </cell>
          <cell r="D365">
            <v>61</v>
          </cell>
          <cell r="E365">
            <v>1</v>
          </cell>
          <cell r="F365">
            <v>3.48</v>
          </cell>
          <cell r="G365">
            <v>3556974</v>
          </cell>
        </row>
        <row r="366">
          <cell r="C366">
            <v>736</v>
          </cell>
          <cell r="D366">
            <v>73</v>
          </cell>
          <cell r="E366">
            <v>2</v>
          </cell>
          <cell r="F366">
            <v>3.93</v>
          </cell>
          <cell r="G366">
            <v>3509476</v>
          </cell>
        </row>
        <row r="367">
          <cell r="C367">
            <v>636</v>
          </cell>
          <cell r="D367">
            <v>57</v>
          </cell>
          <cell r="E367">
            <v>3</v>
          </cell>
          <cell r="F367">
            <v>3.88</v>
          </cell>
          <cell r="G367">
            <v>3221821</v>
          </cell>
        </row>
        <row r="368">
          <cell r="C368">
            <v>859</v>
          </cell>
          <cell r="D368">
            <v>58</v>
          </cell>
          <cell r="E368">
            <v>4</v>
          </cell>
          <cell r="F368">
            <v>3.92</v>
          </cell>
          <cell r="G368">
            <v>3733730</v>
          </cell>
        </row>
        <row r="369">
          <cell r="C369">
            <v>622</v>
          </cell>
          <cell r="D369">
            <v>69</v>
          </cell>
          <cell r="E369">
            <v>4</v>
          </cell>
          <cell r="F369">
            <v>3.95</v>
          </cell>
          <cell r="G369">
            <v>4116722</v>
          </cell>
        </row>
        <row r="370">
          <cell r="C370">
            <v>667</v>
          </cell>
          <cell r="D370">
            <v>60</v>
          </cell>
          <cell r="E370">
            <v>4</v>
          </cell>
          <cell r="F370">
            <v>3.98</v>
          </cell>
          <cell r="G370">
            <v>3929775</v>
          </cell>
        </row>
        <row r="371">
          <cell r="C371">
            <v>350</v>
          </cell>
          <cell r="D371">
            <v>54</v>
          </cell>
          <cell r="E371">
            <v>3</v>
          </cell>
          <cell r="F371">
            <v>3.69</v>
          </cell>
          <cell r="G371">
            <v>2266357</v>
          </cell>
        </row>
        <row r="372">
          <cell r="C372">
            <v>429</v>
          </cell>
          <cell r="D372">
            <v>74</v>
          </cell>
          <cell r="E372">
            <v>2</v>
          </cell>
          <cell r="F372">
            <v>4.0199999999999996</v>
          </cell>
          <cell r="G372">
            <v>3277358</v>
          </cell>
        </row>
        <row r="373">
          <cell r="C373">
            <v>587</v>
          </cell>
          <cell r="D373">
            <v>62</v>
          </cell>
          <cell r="E373">
            <v>3</v>
          </cell>
          <cell r="F373">
            <v>3.82</v>
          </cell>
          <cell r="G373">
            <v>3608589</v>
          </cell>
        </row>
        <row r="374">
          <cell r="C374">
            <v>505</v>
          </cell>
          <cell r="D374">
            <v>39</v>
          </cell>
          <cell r="E374">
            <v>4</v>
          </cell>
          <cell r="F374">
            <v>3.68</v>
          </cell>
          <cell r="G374">
            <v>3376181</v>
          </cell>
        </row>
        <row r="375">
          <cell r="C375">
            <v>1049</v>
          </cell>
          <cell r="D375">
            <v>83</v>
          </cell>
          <cell r="E375">
            <v>5</v>
          </cell>
          <cell r="F375">
            <v>4.41</v>
          </cell>
          <cell r="G375">
            <v>4908638</v>
          </cell>
        </row>
        <row r="376">
          <cell r="C376">
            <v>751</v>
          </cell>
          <cell r="D376">
            <v>50</v>
          </cell>
          <cell r="E376">
            <v>3</v>
          </cell>
          <cell r="F376">
            <v>3.64</v>
          </cell>
          <cell r="G376">
            <v>4044997</v>
          </cell>
        </row>
        <row r="377">
          <cell r="C377">
            <v>777</v>
          </cell>
          <cell r="D377">
            <v>56</v>
          </cell>
          <cell r="E377">
            <v>4</v>
          </cell>
          <cell r="F377">
            <v>3.53</v>
          </cell>
          <cell r="G377">
            <v>3989908</v>
          </cell>
        </row>
        <row r="378">
          <cell r="C378">
            <v>566</v>
          </cell>
          <cell r="D378">
            <v>67</v>
          </cell>
          <cell r="E378">
            <v>2</v>
          </cell>
          <cell r="F378">
            <v>3.8</v>
          </cell>
          <cell r="G378">
            <v>2764645</v>
          </cell>
        </row>
        <row r="379">
          <cell r="C379">
            <v>705</v>
          </cell>
          <cell r="D379">
            <v>55</v>
          </cell>
          <cell r="E379">
            <v>4</v>
          </cell>
          <cell r="F379">
            <v>3.25</v>
          </cell>
          <cell r="G379">
            <v>3337738</v>
          </cell>
        </row>
        <row r="380">
          <cell r="C380">
            <v>990</v>
          </cell>
          <cell r="D380">
            <v>71</v>
          </cell>
          <cell r="E380">
            <v>4</v>
          </cell>
          <cell r="F380">
            <v>4.3099999999999996</v>
          </cell>
          <cell r="G380">
            <v>3282065</v>
          </cell>
        </row>
        <row r="381">
          <cell r="C381">
            <v>435</v>
          </cell>
          <cell r="D381">
            <v>49</v>
          </cell>
          <cell r="E381">
            <v>4</v>
          </cell>
          <cell r="F381">
            <v>3.89</v>
          </cell>
          <cell r="G381">
            <v>3101371</v>
          </cell>
        </row>
        <row r="382">
          <cell r="C382">
            <v>915</v>
          </cell>
          <cell r="D382">
            <v>83</v>
          </cell>
          <cell r="E382">
            <v>3</v>
          </cell>
          <cell r="F382">
            <v>3.82</v>
          </cell>
          <cell r="G382">
            <v>4764895</v>
          </cell>
        </row>
        <row r="383">
          <cell r="C383">
            <v>234</v>
          </cell>
          <cell r="D383">
            <v>44</v>
          </cell>
          <cell r="E383">
            <v>2</v>
          </cell>
          <cell r="F383">
            <v>3.88</v>
          </cell>
          <cell r="G383">
            <v>2270612</v>
          </cell>
        </row>
        <row r="384">
          <cell r="C384">
            <v>749</v>
          </cell>
          <cell r="D384">
            <v>70</v>
          </cell>
          <cell r="E384">
            <v>4</v>
          </cell>
          <cell r="F384">
            <v>4.62</v>
          </cell>
          <cell r="G384">
            <v>3813891</v>
          </cell>
        </row>
        <row r="385">
          <cell r="C385">
            <v>860</v>
          </cell>
          <cell r="D385">
            <v>56</v>
          </cell>
          <cell r="E385">
            <v>5</v>
          </cell>
          <cell r="F385">
            <v>3.66</v>
          </cell>
          <cell r="G385">
            <v>4045116</v>
          </cell>
        </row>
        <row r="386">
          <cell r="C386">
            <v>855</v>
          </cell>
          <cell r="D386">
            <v>80</v>
          </cell>
          <cell r="E386">
            <v>3</v>
          </cell>
          <cell r="F386">
            <v>3.8</v>
          </cell>
          <cell r="G386">
            <v>4881229</v>
          </cell>
        </row>
        <row r="387">
          <cell r="C387">
            <v>843</v>
          </cell>
          <cell r="D387">
            <v>75</v>
          </cell>
          <cell r="E387">
            <v>3</v>
          </cell>
          <cell r="F387">
            <v>4.08</v>
          </cell>
          <cell r="G387">
            <v>3965607</v>
          </cell>
        </row>
        <row r="388">
          <cell r="C388">
            <v>242</v>
          </cell>
          <cell r="D388">
            <v>55</v>
          </cell>
          <cell r="E388">
            <v>2</v>
          </cell>
          <cell r="F388">
            <v>3.16</v>
          </cell>
          <cell r="G388">
            <v>3000341</v>
          </cell>
        </row>
        <row r="389">
          <cell r="C389">
            <v>520</v>
          </cell>
          <cell r="D389">
            <v>56</v>
          </cell>
          <cell r="E389">
            <v>4</v>
          </cell>
          <cell r="F389">
            <v>4.2300000000000004</v>
          </cell>
          <cell r="G389">
            <v>3535911</v>
          </cell>
        </row>
        <row r="390">
          <cell r="C390">
            <v>1012</v>
          </cell>
          <cell r="D390">
            <v>72</v>
          </cell>
          <cell r="E390">
            <v>7</v>
          </cell>
          <cell r="F390">
            <v>3.96</v>
          </cell>
          <cell r="G390">
            <v>4654949</v>
          </cell>
        </row>
        <row r="391">
          <cell r="C391">
            <v>873</v>
          </cell>
          <cell r="D391">
            <v>80</v>
          </cell>
          <cell r="E391">
            <v>3</v>
          </cell>
          <cell r="F391">
            <v>3.92</v>
          </cell>
          <cell r="G391">
            <v>3933499</v>
          </cell>
        </row>
        <row r="392">
          <cell r="C392">
            <v>452</v>
          </cell>
          <cell r="D392">
            <v>55</v>
          </cell>
          <cell r="E392">
            <v>2</v>
          </cell>
          <cell r="F392">
            <v>3.71</v>
          </cell>
          <cell r="G392">
            <v>2916795</v>
          </cell>
        </row>
        <row r="393">
          <cell r="C393">
            <v>422</v>
          </cell>
          <cell r="D393">
            <v>42</v>
          </cell>
          <cell r="E393">
            <v>5</v>
          </cell>
          <cell r="F393">
            <v>3.58</v>
          </cell>
          <cell r="G393">
            <v>3079434</v>
          </cell>
        </row>
        <row r="394">
          <cell r="C394">
            <v>723</v>
          </cell>
          <cell r="D394">
            <v>63</v>
          </cell>
          <cell r="E394">
            <v>4</v>
          </cell>
          <cell r="F394">
            <v>3.6</v>
          </cell>
          <cell r="G394">
            <v>3206357</v>
          </cell>
        </row>
        <row r="395">
          <cell r="C395">
            <v>577</v>
          </cell>
          <cell r="D395">
            <v>48</v>
          </cell>
          <cell r="E395">
            <v>2</v>
          </cell>
          <cell r="F395">
            <v>3.57</v>
          </cell>
          <cell r="G395">
            <v>2891924</v>
          </cell>
        </row>
        <row r="396">
          <cell r="C396">
            <v>559</v>
          </cell>
          <cell r="D396">
            <v>60</v>
          </cell>
          <cell r="E396">
            <v>3</v>
          </cell>
          <cell r="F396">
            <v>3.98</v>
          </cell>
          <cell r="G396">
            <v>3059280</v>
          </cell>
        </row>
        <row r="397">
          <cell r="C397">
            <v>424</v>
          </cell>
          <cell r="D397">
            <v>38</v>
          </cell>
          <cell r="E397">
            <v>3</v>
          </cell>
          <cell r="F397">
            <v>3.35</v>
          </cell>
          <cell r="G397">
            <v>2608781</v>
          </cell>
        </row>
        <row r="398">
          <cell r="C398">
            <v>677</v>
          </cell>
          <cell r="D398">
            <v>64</v>
          </cell>
          <cell r="E398">
            <v>2</v>
          </cell>
          <cell r="F398">
            <v>3.76</v>
          </cell>
          <cell r="G398">
            <v>3130794</v>
          </cell>
        </row>
        <row r="399">
          <cell r="C399">
            <v>815</v>
          </cell>
          <cell r="D399">
            <v>73</v>
          </cell>
          <cell r="E399">
            <v>5</v>
          </cell>
          <cell r="F399">
            <v>3.72</v>
          </cell>
          <cell r="G399">
            <v>4204633</v>
          </cell>
        </row>
        <row r="400">
          <cell r="C400">
            <v>607</v>
          </cell>
          <cell r="D400">
            <v>69</v>
          </cell>
          <cell r="E400">
            <v>4</v>
          </cell>
          <cell r="F400">
            <v>3.86</v>
          </cell>
          <cell r="G400">
            <v>3480943</v>
          </cell>
        </row>
        <row r="401">
          <cell r="C401">
            <v>782</v>
          </cell>
          <cell r="D401">
            <v>72</v>
          </cell>
          <cell r="E401">
            <v>3</v>
          </cell>
          <cell r="F401">
            <v>3.83</v>
          </cell>
          <cell r="G401">
            <v>4446857</v>
          </cell>
        </row>
        <row r="402">
          <cell r="C402">
            <v>608</v>
          </cell>
          <cell r="D402">
            <v>60</v>
          </cell>
          <cell r="E402">
            <v>4</v>
          </cell>
          <cell r="F402">
            <v>3.79</v>
          </cell>
          <cell r="G402">
            <v>3408461</v>
          </cell>
        </row>
        <row r="403">
          <cell r="C403">
            <v>1275</v>
          </cell>
          <cell r="D403">
            <v>89</v>
          </cell>
          <cell r="E403">
            <v>4</v>
          </cell>
          <cell r="F403">
            <v>4.05</v>
          </cell>
          <cell r="G403">
            <v>4688857</v>
          </cell>
        </row>
        <row r="404">
          <cell r="C404">
            <v>772</v>
          </cell>
          <cell r="D404">
            <v>69</v>
          </cell>
          <cell r="E404">
            <v>3</v>
          </cell>
          <cell r="F404">
            <v>3.83</v>
          </cell>
          <cell r="G404">
            <v>4063794</v>
          </cell>
        </row>
        <row r="405">
          <cell r="C405">
            <v>953</v>
          </cell>
          <cell r="D405">
            <v>78</v>
          </cell>
          <cell r="E405">
            <v>4</v>
          </cell>
          <cell r="F405">
            <v>3.79</v>
          </cell>
          <cell r="G405">
            <v>4910023</v>
          </cell>
        </row>
        <row r="406">
          <cell r="C406">
            <v>193</v>
          </cell>
          <cell r="D406">
            <v>37</v>
          </cell>
          <cell r="E406">
            <v>3</v>
          </cell>
          <cell r="F406">
            <v>3.11</v>
          </cell>
          <cell r="G406">
            <v>2687773</v>
          </cell>
        </row>
        <row r="407">
          <cell r="C407">
            <v>442</v>
          </cell>
          <cell r="D407">
            <v>47</v>
          </cell>
          <cell r="E407">
            <v>2</v>
          </cell>
          <cell r="F407">
            <v>3.64</v>
          </cell>
          <cell r="G407">
            <v>2900897</v>
          </cell>
        </row>
        <row r="408">
          <cell r="C408">
            <v>562</v>
          </cell>
          <cell r="D408">
            <v>43</v>
          </cell>
          <cell r="E408">
            <v>3</v>
          </cell>
          <cell r="F408">
            <v>3.44</v>
          </cell>
          <cell r="G408">
            <v>3320918</v>
          </cell>
        </row>
        <row r="409">
          <cell r="C409">
            <v>400</v>
          </cell>
          <cell r="D409">
            <v>58</v>
          </cell>
          <cell r="E409">
            <v>3</v>
          </cell>
          <cell r="F409">
            <v>3.67</v>
          </cell>
          <cell r="G409">
            <v>3182255</v>
          </cell>
        </row>
        <row r="410">
          <cell r="C410">
            <v>65</v>
          </cell>
          <cell r="D410">
            <v>53</v>
          </cell>
          <cell r="E410">
            <v>2</v>
          </cell>
          <cell r="F410">
            <v>3.08</v>
          </cell>
          <cell r="G410">
            <v>2400215</v>
          </cell>
        </row>
        <row r="411">
          <cell r="C411">
            <v>513</v>
          </cell>
          <cell r="D411">
            <v>71</v>
          </cell>
          <cell r="E411">
            <v>3</v>
          </cell>
          <cell r="F411">
            <v>3.91</v>
          </cell>
          <cell r="G411">
            <v>3870403</v>
          </cell>
        </row>
        <row r="412">
          <cell r="C412">
            <v>1006</v>
          </cell>
          <cell r="D412">
            <v>57</v>
          </cell>
          <cell r="E412">
            <v>5</v>
          </cell>
          <cell r="F412">
            <v>3.57</v>
          </cell>
          <cell r="G412">
            <v>3863385</v>
          </cell>
        </row>
        <row r="413">
          <cell r="C413">
            <v>717</v>
          </cell>
          <cell r="D413">
            <v>80</v>
          </cell>
          <cell r="E413">
            <v>3</v>
          </cell>
          <cell r="F413">
            <v>4.3</v>
          </cell>
          <cell r="G413">
            <v>3859015</v>
          </cell>
        </row>
        <row r="414">
          <cell r="C414">
            <v>737</v>
          </cell>
          <cell r="D414">
            <v>55</v>
          </cell>
          <cell r="E414">
            <v>4</v>
          </cell>
          <cell r="F414">
            <v>3.88</v>
          </cell>
          <cell r="G414">
            <v>3328401</v>
          </cell>
        </row>
        <row r="415">
          <cell r="C415">
            <v>857</v>
          </cell>
          <cell r="D415">
            <v>49</v>
          </cell>
          <cell r="E415">
            <v>5</v>
          </cell>
          <cell r="F415">
            <v>4.1500000000000004</v>
          </cell>
          <cell r="G415">
            <v>3200011</v>
          </cell>
        </row>
        <row r="416">
          <cell r="C416">
            <v>552</v>
          </cell>
          <cell r="D416">
            <v>66</v>
          </cell>
          <cell r="E416">
            <v>4</v>
          </cell>
          <cell r="F416">
            <v>3.57</v>
          </cell>
          <cell r="G416">
            <v>3906177</v>
          </cell>
        </row>
        <row r="417">
          <cell r="C417">
            <v>894</v>
          </cell>
          <cell r="D417">
            <v>69</v>
          </cell>
          <cell r="E417">
            <v>3</v>
          </cell>
          <cell r="F417">
            <v>3.68</v>
          </cell>
          <cell r="G417">
            <v>3907506</v>
          </cell>
        </row>
        <row r="418">
          <cell r="C418">
            <v>629</v>
          </cell>
          <cell r="D418">
            <v>42</v>
          </cell>
          <cell r="E418">
            <v>2</v>
          </cell>
          <cell r="F418">
            <v>3.62</v>
          </cell>
          <cell r="G418">
            <v>2995952</v>
          </cell>
        </row>
        <row r="419">
          <cell r="C419">
            <v>774</v>
          </cell>
          <cell r="D419">
            <v>48</v>
          </cell>
          <cell r="E419">
            <v>4</v>
          </cell>
          <cell r="F419">
            <v>3.95</v>
          </cell>
          <cell r="G419">
            <v>3771630</v>
          </cell>
        </row>
        <row r="420">
          <cell r="C420">
            <v>355</v>
          </cell>
          <cell r="D420">
            <v>44</v>
          </cell>
          <cell r="E420">
            <v>3</v>
          </cell>
          <cell r="F420">
            <v>3.47</v>
          </cell>
          <cell r="G420">
            <v>2650657</v>
          </cell>
        </row>
        <row r="421">
          <cell r="C421">
            <v>621</v>
          </cell>
          <cell r="D421">
            <v>43</v>
          </cell>
          <cell r="E421">
            <v>4</v>
          </cell>
          <cell r="F421">
            <v>3.69</v>
          </cell>
          <cell r="G421">
            <v>3008194</v>
          </cell>
        </row>
        <row r="422">
          <cell r="C422">
            <v>704</v>
          </cell>
          <cell r="D422">
            <v>60</v>
          </cell>
          <cell r="E422">
            <v>3</v>
          </cell>
          <cell r="F422">
            <v>3.57</v>
          </cell>
          <cell r="G422">
            <v>3592651</v>
          </cell>
        </row>
        <row r="423">
          <cell r="C423">
            <v>419</v>
          </cell>
          <cell r="D423">
            <v>76</v>
          </cell>
          <cell r="E423">
            <v>2</v>
          </cell>
          <cell r="F423">
            <v>3.65</v>
          </cell>
          <cell r="G423">
            <v>3305458</v>
          </cell>
        </row>
        <row r="424">
          <cell r="C424">
            <v>335</v>
          </cell>
          <cell r="D424">
            <v>73</v>
          </cell>
          <cell r="E424">
            <v>2</v>
          </cell>
          <cell r="F424">
            <v>3.51</v>
          </cell>
          <cell r="G424">
            <v>2585547</v>
          </cell>
        </row>
        <row r="425">
          <cell r="C425">
            <v>198</v>
          </cell>
          <cell r="D425">
            <v>32</v>
          </cell>
          <cell r="E425">
            <v>4</v>
          </cell>
          <cell r="F425">
            <v>3.91</v>
          </cell>
          <cell r="G425">
            <v>3032449</v>
          </cell>
        </row>
        <row r="426">
          <cell r="C426">
            <v>707</v>
          </cell>
          <cell r="D426">
            <v>64</v>
          </cell>
          <cell r="E426">
            <v>3</v>
          </cell>
          <cell r="F426">
            <v>3.55</v>
          </cell>
          <cell r="G426">
            <v>4327278</v>
          </cell>
        </row>
        <row r="427">
          <cell r="C427">
            <v>660</v>
          </cell>
          <cell r="D427">
            <v>59</v>
          </cell>
          <cell r="E427">
            <v>2</v>
          </cell>
          <cell r="F427">
            <v>3.45</v>
          </cell>
          <cell r="G427">
            <v>3262406</v>
          </cell>
        </row>
        <row r="428">
          <cell r="C428">
            <v>828</v>
          </cell>
          <cell r="D428">
            <v>46</v>
          </cell>
          <cell r="E428">
            <v>4</v>
          </cell>
          <cell r="F428">
            <v>3.48</v>
          </cell>
          <cell r="G428">
            <v>3409427</v>
          </cell>
        </row>
        <row r="429">
          <cell r="C429">
            <v>744</v>
          </cell>
          <cell r="D429">
            <v>49</v>
          </cell>
          <cell r="E429">
            <v>4</v>
          </cell>
          <cell r="F429">
            <v>3.5</v>
          </cell>
          <cell r="G429">
            <v>3344758</v>
          </cell>
        </row>
        <row r="430">
          <cell r="C430">
            <v>1090</v>
          </cell>
          <cell r="D430">
            <v>63</v>
          </cell>
          <cell r="E430">
            <v>5</v>
          </cell>
          <cell r="F430">
            <v>3.98</v>
          </cell>
          <cell r="G430">
            <v>4391045</v>
          </cell>
        </row>
        <row r="431">
          <cell r="C431">
            <v>682</v>
          </cell>
          <cell r="D431">
            <v>47</v>
          </cell>
          <cell r="E431">
            <v>1</v>
          </cell>
          <cell r="F431">
            <v>3.14</v>
          </cell>
          <cell r="G431">
            <v>3184913</v>
          </cell>
        </row>
        <row r="432">
          <cell r="C432">
            <v>818</v>
          </cell>
          <cell r="D432">
            <v>74</v>
          </cell>
          <cell r="E432">
            <v>1</v>
          </cell>
          <cell r="F432">
            <v>3.53</v>
          </cell>
          <cell r="G432">
            <v>3877236</v>
          </cell>
        </row>
        <row r="433">
          <cell r="C433">
            <v>692</v>
          </cell>
          <cell r="D433">
            <v>48</v>
          </cell>
          <cell r="E433">
            <v>4</v>
          </cell>
          <cell r="F433">
            <v>3.3</v>
          </cell>
          <cell r="G433">
            <v>3237258</v>
          </cell>
        </row>
        <row r="434">
          <cell r="C434">
            <v>638</v>
          </cell>
          <cell r="D434">
            <v>53</v>
          </cell>
          <cell r="E434">
            <v>2</v>
          </cell>
          <cell r="F434">
            <v>3.6</v>
          </cell>
          <cell r="G434">
            <v>2879700</v>
          </cell>
        </row>
        <row r="435">
          <cell r="C435">
            <v>488</v>
          </cell>
          <cell r="D435">
            <v>68</v>
          </cell>
          <cell r="E435">
            <v>4</v>
          </cell>
          <cell r="F435">
            <v>3.73</v>
          </cell>
          <cell r="G435">
            <v>4432172</v>
          </cell>
        </row>
        <row r="436">
          <cell r="C436">
            <v>761</v>
          </cell>
          <cell r="D436">
            <v>57</v>
          </cell>
          <cell r="E436">
            <v>3</v>
          </cell>
          <cell r="F436">
            <v>3.28</v>
          </cell>
          <cell r="G436">
            <v>3340617</v>
          </cell>
        </row>
        <row r="437">
          <cell r="C437">
            <v>621</v>
          </cell>
          <cell r="D437">
            <v>59</v>
          </cell>
          <cell r="E437">
            <v>3</v>
          </cell>
          <cell r="F437">
            <v>3.42</v>
          </cell>
          <cell r="G437">
            <v>3841964</v>
          </cell>
        </row>
        <row r="438">
          <cell r="C438">
            <v>345</v>
          </cell>
          <cell r="D438">
            <v>50</v>
          </cell>
          <cell r="E438">
            <v>1</v>
          </cell>
          <cell r="F438">
            <v>3.52</v>
          </cell>
          <cell r="G438">
            <v>2368696</v>
          </cell>
        </row>
        <row r="439">
          <cell r="C439">
            <v>646</v>
          </cell>
          <cell r="D439">
            <v>59</v>
          </cell>
          <cell r="E439">
            <v>3</v>
          </cell>
          <cell r="F439">
            <v>3.93</v>
          </cell>
          <cell r="G439">
            <v>3715915</v>
          </cell>
        </row>
        <row r="440">
          <cell r="C440">
            <v>335</v>
          </cell>
          <cell r="D440">
            <v>54</v>
          </cell>
          <cell r="E440">
            <v>0</v>
          </cell>
          <cell r="F440">
            <v>3.66</v>
          </cell>
          <cell r="G440">
            <v>3002761</v>
          </cell>
        </row>
        <row r="441">
          <cell r="C441">
            <v>651</v>
          </cell>
          <cell r="D441">
            <v>48</v>
          </cell>
          <cell r="E441">
            <v>3</v>
          </cell>
          <cell r="F441">
            <v>3.78</v>
          </cell>
          <cell r="G441">
            <v>3550666</v>
          </cell>
        </row>
        <row r="442">
          <cell r="C442">
            <v>877</v>
          </cell>
          <cell r="D442">
            <v>85</v>
          </cell>
          <cell r="E442">
            <v>4</v>
          </cell>
          <cell r="F442">
            <v>4.1500000000000004</v>
          </cell>
          <cell r="G442">
            <v>5044251</v>
          </cell>
        </row>
        <row r="443">
          <cell r="C443">
            <v>784</v>
          </cell>
          <cell r="D443">
            <v>48</v>
          </cell>
          <cell r="E443">
            <v>4</v>
          </cell>
          <cell r="F443">
            <v>3.5</v>
          </cell>
          <cell r="G443">
            <v>3505772</v>
          </cell>
        </row>
        <row r="444">
          <cell r="C444">
            <v>267</v>
          </cell>
          <cell r="D444">
            <v>51</v>
          </cell>
          <cell r="E444">
            <v>1</v>
          </cell>
          <cell r="F444">
            <v>3.5</v>
          </cell>
          <cell r="G444">
            <v>3068651</v>
          </cell>
        </row>
        <row r="445">
          <cell r="C445">
            <v>234</v>
          </cell>
          <cell r="D445">
            <v>43</v>
          </cell>
          <cell r="E445">
            <v>2</v>
          </cell>
          <cell r="F445">
            <v>3.64</v>
          </cell>
          <cell r="G445">
            <v>3054532</v>
          </cell>
        </row>
        <row r="446">
          <cell r="C446">
            <v>0</v>
          </cell>
          <cell r="D446">
            <v>46</v>
          </cell>
          <cell r="E446">
            <v>3</v>
          </cell>
          <cell r="F446">
            <v>3.4</v>
          </cell>
          <cell r="G446">
            <v>2102875</v>
          </cell>
        </row>
        <row r="447">
          <cell r="C447">
            <v>510</v>
          </cell>
          <cell r="D447">
            <v>60</v>
          </cell>
          <cell r="E447">
            <v>3</v>
          </cell>
          <cell r="F447">
            <v>3.8</v>
          </cell>
          <cell r="G447">
            <v>3786913</v>
          </cell>
        </row>
        <row r="448">
          <cell r="C448">
            <v>593</v>
          </cell>
          <cell r="D448">
            <v>53</v>
          </cell>
          <cell r="E448">
            <v>2</v>
          </cell>
          <cell r="F448">
            <v>4.07</v>
          </cell>
          <cell r="G448">
            <v>3169820</v>
          </cell>
        </row>
        <row r="449">
          <cell r="C449">
            <v>142</v>
          </cell>
          <cell r="D449">
            <v>29</v>
          </cell>
          <cell r="E449">
            <v>2</v>
          </cell>
          <cell r="F449">
            <v>3.18</v>
          </cell>
          <cell r="G449">
            <v>1988318</v>
          </cell>
        </row>
        <row r="450">
          <cell r="C450">
            <v>439</v>
          </cell>
          <cell r="D450">
            <v>63</v>
          </cell>
          <cell r="E450">
            <v>2</v>
          </cell>
          <cell r="F450">
            <v>4.01</v>
          </cell>
          <cell r="G450">
            <v>3122179</v>
          </cell>
        </row>
        <row r="451">
          <cell r="C451">
            <v>157</v>
          </cell>
          <cell r="D451">
            <v>35</v>
          </cell>
          <cell r="E451">
            <v>3</v>
          </cell>
          <cell r="F451">
            <v>3.24</v>
          </cell>
          <cell r="G451">
            <v>2754819</v>
          </cell>
        </row>
        <row r="452">
          <cell r="C452">
            <v>437</v>
          </cell>
          <cell r="D452">
            <v>37</v>
          </cell>
          <cell r="E452">
            <v>2</v>
          </cell>
          <cell r="F452">
            <v>3.64</v>
          </cell>
          <cell r="G452">
            <v>2975229</v>
          </cell>
        </row>
        <row r="453">
          <cell r="C453">
            <v>888</v>
          </cell>
          <cell r="D453">
            <v>57</v>
          </cell>
          <cell r="E453">
            <v>3</v>
          </cell>
          <cell r="F453">
            <v>3.32</v>
          </cell>
          <cell r="G453">
            <v>4136000</v>
          </cell>
        </row>
        <row r="454">
          <cell r="C454">
            <v>634</v>
          </cell>
          <cell r="D454">
            <v>63</v>
          </cell>
          <cell r="E454">
            <v>2</v>
          </cell>
          <cell r="F454">
            <v>3.38</v>
          </cell>
          <cell r="G454">
            <v>3088173</v>
          </cell>
        </row>
        <row r="455">
          <cell r="C455">
            <v>1000</v>
          </cell>
          <cell r="D455">
            <v>61</v>
          </cell>
          <cell r="E455">
            <v>3</v>
          </cell>
          <cell r="F455">
            <v>3.91</v>
          </cell>
          <cell r="G455">
            <v>3453069</v>
          </cell>
        </row>
        <row r="456">
          <cell r="C456">
            <v>771</v>
          </cell>
          <cell r="D456">
            <v>79</v>
          </cell>
          <cell r="E456">
            <v>4</v>
          </cell>
          <cell r="F456">
            <v>4.41</v>
          </cell>
          <cell r="G456">
            <v>4487508</v>
          </cell>
        </row>
        <row r="457">
          <cell r="C457">
            <v>485</v>
          </cell>
          <cell r="D457">
            <v>54</v>
          </cell>
          <cell r="E457">
            <v>1</v>
          </cell>
          <cell r="F457">
            <v>3.76</v>
          </cell>
          <cell r="G457">
            <v>3230890</v>
          </cell>
        </row>
        <row r="458">
          <cell r="C458">
            <v>992</v>
          </cell>
          <cell r="D458">
            <v>63</v>
          </cell>
          <cell r="E458">
            <v>5</v>
          </cell>
          <cell r="F458">
            <v>4</v>
          </cell>
          <cell r="G458">
            <v>4360896</v>
          </cell>
        </row>
        <row r="459">
          <cell r="C459">
            <v>821</v>
          </cell>
          <cell r="D459">
            <v>68</v>
          </cell>
          <cell r="E459">
            <v>5</v>
          </cell>
          <cell r="F459">
            <v>4.21</v>
          </cell>
          <cell r="G459">
            <v>3801896</v>
          </cell>
        </row>
        <row r="460">
          <cell r="C460">
            <v>168</v>
          </cell>
          <cell r="D460">
            <v>47</v>
          </cell>
          <cell r="E460">
            <v>2</v>
          </cell>
          <cell r="F460">
            <v>3.8</v>
          </cell>
          <cell r="G460">
            <v>3036802</v>
          </cell>
        </row>
        <row r="461">
          <cell r="C461">
            <v>512</v>
          </cell>
          <cell r="D461">
            <v>59</v>
          </cell>
          <cell r="E461">
            <v>2</v>
          </cell>
          <cell r="F461">
            <v>3.72</v>
          </cell>
          <cell r="G461">
            <v>3104383</v>
          </cell>
        </row>
        <row r="462">
          <cell r="C462">
            <v>414</v>
          </cell>
          <cell r="D462">
            <v>70</v>
          </cell>
          <cell r="E462">
            <v>4</v>
          </cell>
          <cell r="F462">
            <v>4</v>
          </cell>
          <cell r="G462">
            <v>3251907</v>
          </cell>
        </row>
        <row r="463">
          <cell r="C463">
            <v>545</v>
          </cell>
          <cell r="D463">
            <v>49</v>
          </cell>
          <cell r="E463">
            <v>3</v>
          </cell>
          <cell r="F463">
            <v>3.7</v>
          </cell>
          <cell r="G463">
            <v>3333090</v>
          </cell>
        </row>
        <row r="464">
          <cell r="C464">
            <v>678</v>
          </cell>
          <cell r="D464">
            <v>61</v>
          </cell>
          <cell r="E464">
            <v>4</v>
          </cell>
          <cell r="F464">
            <v>3.92</v>
          </cell>
          <cell r="G464">
            <v>3767063</v>
          </cell>
        </row>
        <row r="465">
          <cell r="C465">
            <v>881</v>
          </cell>
          <cell r="D465">
            <v>67</v>
          </cell>
          <cell r="E465">
            <v>4</v>
          </cell>
          <cell r="F465">
            <v>3.98</v>
          </cell>
          <cell r="G465">
            <v>3263430</v>
          </cell>
        </row>
        <row r="466">
          <cell r="C466">
            <v>666</v>
          </cell>
          <cell r="D466">
            <v>66</v>
          </cell>
          <cell r="E466">
            <v>5</v>
          </cell>
          <cell r="F466">
            <v>3.7</v>
          </cell>
          <cell r="G466">
            <v>4175221</v>
          </cell>
        </row>
        <row r="467">
          <cell r="C467">
            <v>526</v>
          </cell>
          <cell r="D467">
            <v>46</v>
          </cell>
          <cell r="E467">
            <v>3</v>
          </cell>
          <cell r="F467">
            <v>3.62</v>
          </cell>
          <cell r="G467">
            <v>2949567</v>
          </cell>
        </row>
        <row r="468">
          <cell r="C468">
            <v>824</v>
          </cell>
          <cell r="D468">
            <v>51</v>
          </cell>
          <cell r="E468">
            <v>4</v>
          </cell>
          <cell r="F468">
            <v>3.55</v>
          </cell>
          <cell r="G468">
            <v>4018977</v>
          </cell>
        </row>
        <row r="469">
          <cell r="C469">
            <v>527</v>
          </cell>
          <cell r="D469">
            <v>29</v>
          </cell>
          <cell r="E469">
            <v>4</v>
          </cell>
          <cell r="F469">
            <v>3.17</v>
          </cell>
          <cell r="G469">
            <v>3211390</v>
          </cell>
        </row>
        <row r="470">
          <cell r="C470">
            <v>758</v>
          </cell>
          <cell r="D470">
            <v>75</v>
          </cell>
          <cell r="E470">
            <v>2</v>
          </cell>
          <cell r="F470">
            <v>4.21</v>
          </cell>
          <cell r="G470">
            <v>3910453</v>
          </cell>
        </row>
        <row r="471">
          <cell r="C471">
            <v>548</v>
          </cell>
          <cell r="D471">
            <v>37</v>
          </cell>
          <cell r="E471">
            <v>3</v>
          </cell>
          <cell r="F471">
            <v>3.34</v>
          </cell>
          <cell r="G471">
            <v>3238692</v>
          </cell>
        </row>
        <row r="472">
          <cell r="C472">
            <v>916</v>
          </cell>
          <cell r="D472">
            <v>71</v>
          </cell>
          <cell r="E472">
            <v>6</v>
          </cell>
          <cell r="F472">
            <v>4.3</v>
          </cell>
          <cell r="G472">
            <v>4812961</v>
          </cell>
        </row>
        <row r="473">
          <cell r="C473">
            <v>621</v>
          </cell>
          <cell r="D473">
            <v>62</v>
          </cell>
          <cell r="E473">
            <v>1</v>
          </cell>
          <cell r="F473">
            <v>3.84</v>
          </cell>
          <cell r="G473">
            <v>3130334</v>
          </cell>
        </row>
        <row r="474">
          <cell r="C474">
            <v>462</v>
          </cell>
          <cell r="D474">
            <v>55</v>
          </cell>
          <cell r="E474">
            <v>2</v>
          </cell>
          <cell r="F474">
            <v>3.8</v>
          </cell>
          <cell r="G474">
            <v>3111000</v>
          </cell>
        </row>
        <row r="475">
          <cell r="C475">
            <v>284</v>
          </cell>
          <cell r="D475">
            <v>42</v>
          </cell>
          <cell r="E475">
            <v>3</v>
          </cell>
          <cell r="F475">
            <v>3.72</v>
          </cell>
          <cell r="G475">
            <v>2442013</v>
          </cell>
        </row>
        <row r="476">
          <cell r="C476">
            <v>632</v>
          </cell>
          <cell r="D476">
            <v>77</v>
          </cell>
          <cell r="E476">
            <v>4</v>
          </cell>
          <cell r="F476">
            <v>3.66</v>
          </cell>
          <cell r="G476">
            <v>3769931</v>
          </cell>
        </row>
        <row r="477">
          <cell r="C477">
            <v>477</v>
          </cell>
          <cell r="D477">
            <v>52</v>
          </cell>
          <cell r="E477">
            <v>3</v>
          </cell>
          <cell r="F477">
            <v>4.1900000000000004</v>
          </cell>
          <cell r="G477">
            <v>3030696</v>
          </cell>
        </row>
        <row r="478">
          <cell r="C478">
            <v>939</v>
          </cell>
          <cell r="D478">
            <v>49</v>
          </cell>
          <cell r="E478">
            <v>4</v>
          </cell>
          <cell r="F478">
            <v>3.9</v>
          </cell>
          <cell r="G478">
            <v>3584291</v>
          </cell>
        </row>
        <row r="479">
          <cell r="C479">
            <v>758</v>
          </cell>
          <cell r="D479">
            <v>63</v>
          </cell>
          <cell r="E479">
            <v>4</v>
          </cell>
          <cell r="F479">
            <v>3.96</v>
          </cell>
          <cell r="G479">
            <v>4072017</v>
          </cell>
        </row>
        <row r="480">
          <cell r="C480">
            <v>666</v>
          </cell>
          <cell r="D480">
            <v>65</v>
          </cell>
          <cell r="E480">
            <v>3</v>
          </cell>
          <cell r="F480">
            <v>3.72</v>
          </cell>
          <cell r="G480">
            <v>4193464</v>
          </cell>
        </row>
        <row r="481">
          <cell r="C481">
            <v>522</v>
          </cell>
          <cell r="D481">
            <v>52</v>
          </cell>
          <cell r="E481">
            <v>3</v>
          </cell>
          <cell r="F481">
            <v>3.92</v>
          </cell>
          <cell r="G481">
            <v>2957098</v>
          </cell>
        </row>
        <row r="482">
          <cell r="C482">
            <v>753</v>
          </cell>
          <cell r="D482">
            <v>75</v>
          </cell>
          <cell r="E482">
            <v>2</v>
          </cell>
          <cell r="F482">
            <v>3.68</v>
          </cell>
          <cell r="G482">
            <v>3789094</v>
          </cell>
        </row>
        <row r="483">
          <cell r="C483">
            <v>355</v>
          </cell>
          <cell r="D483">
            <v>59</v>
          </cell>
          <cell r="E483">
            <v>2</v>
          </cell>
          <cell r="F483">
            <v>3.89</v>
          </cell>
          <cell r="G483">
            <v>2916646</v>
          </cell>
        </row>
        <row r="484">
          <cell r="C484">
            <v>98</v>
          </cell>
          <cell r="D484">
            <v>47</v>
          </cell>
          <cell r="E484">
            <v>1</v>
          </cell>
          <cell r="F484">
            <v>3.59</v>
          </cell>
          <cell r="G484">
            <v>2201063</v>
          </cell>
        </row>
        <row r="485">
          <cell r="C485">
            <v>286</v>
          </cell>
          <cell r="D485">
            <v>32</v>
          </cell>
          <cell r="E485">
            <v>0</v>
          </cell>
          <cell r="F485">
            <v>3.02</v>
          </cell>
          <cell r="G485">
            <v>1927523</v>
          </cell>
        </row>
        <row r="486">
          <cell r="C486">
            <v>620</v>
          </cell>
          <cell r="D486">
            <v>72</v>
          </cell>
          <cell r="E486">
            <v>4</v>
          </cell>
          <cell r="F486">
            <v>4.21</v>
          </cell>
          <cell r="G486">
            <v>4049470</v>
          </cell>
        </row>
        <row r="487">
          <cell r="C487">
            <v>1131</v>
          </cell>
          <cell r="D487">
            <v>82</v>
          </cell>
          <cell r="E487">
            <v>3</v>
          </cell>
          <cell r="F487">
            <v>3.84</v>
          </cell>
          <cell r="G487">
            <v>4734031</v>
          </cell>
        </row>
        <row r="488">
          <cell r="C488">
            <v>871</v>
          </cell>
          <cell r="D488">
            <v>79</v>
          </cell>
          <cell r="E488">
            <v>4</v>
          </cell>
          <cell r="F488">
            <v>3.95</v>
          </cell>
          <cell r="G488">
            <v>4012478</v>
          </cell>
        </row>
        <row r="489">
          <cell r="C489">
            <v>639</v>
          </cell>
          <cell r="D489">
            <v>63</v>
          </cell>
          <cell r="E489">
            <v>4</v>
          </cell>
          <cell r="F489">
            <v>3.66</v>
          </cell>
          <cell r="G489">
            <v>3095101</v>
          </cell>
        </row>
        <row r="490">
          <cell r="C490">
            <v>527</v>
          </cell>
          <cell r="D490">
            <v>54</v>
          </cell>
          <cell r="E490">
            <v>4</v>
          </cell>
          <cell r="F490">
            <v>3.3</v>
          </cell>
          <cell r="G490">
            <v>3212400</v>
          </cell>
        </row>
        <row r="491">
          <cell r="C491">
            <v>528</v>
          </cell>
          <cell r="D491">
            <v>64</v>
          </cell>
          <cell r="E491">
            <v>3</v>
          </cell>
          <cell r="F491">
            <v>3.64</v>
          </cell>
          <cell r="G491">
            <v>2909050</v>
          </cell>
        </row>
        <row r="492">
          <cell r="C492">
            <v>589</v>
          </cell>
          <cell r="D492">
            <v>67</v>
          </cell>
          <cell r="E492">
            <v>2</v>
          </cell>
          <cell r="F492">
            <v>3.54</v>
          </cell>
          <cell r="G492">
            <v>3617072</v>
          </cell>
        </row>
        <row r="493">
          <cell r="C493">
            <v>549</v>
          </cell>
          <cell r="D493">
            <v>59</v>
          </cell>
          <cell r="E493">
            <v>3</v>
          </cell>
          <cell r="F493">
            <v>3.52</v>
          </cell>
          <cell r="G493">
            <v>3701364</v>
          </cell>
        </row>
        <row r="494">
          <cell r="C494">
            <v>948</v>
          </cell>
          <cell r="D494">
            <v>69</v>
          </cell>
          <cell r="E494">
            <v>4</v>
          </cell>
          <cell r="F494">
            <v>2.7</v>
          </cell>
          <cell r="G494">
            <v>3692255</v>
          </cell>
        </row>
        <row r="495">
          <cell r="C495">
            <v>183</v>
          </cell>
          <cell r="D495">
            <v>36</v>
          </cell>
          <cell r="E495">
            <v>1</v>
          </cell>
          <cell r="F495">
            <v>3.54</v>
          </cell>
          <cell r="G495">
            <v>2430185</v>
          </cell>
        </row>
        <row r="496">
          <cell r="C496">
            <v>879</v>
          </cell>
          <cell r="D496">
            <v>54</v>
          </cell>
          <cell r="E496">
            <v>4</v>
          </cell>
          <cell r="F496">
            <v>3.78</v>
          </cell>
          <cell r="G496">
            <v>4026715</v>
          </cell>
        </row>
        <row r="497">
          <cell r="C497">
            <v>501</v>
          </cell>
          <cell r="D497">
            <v>64</v>
          </cell>
          <cell r="E497">
            <v>2</v>
          </cell>
          <cell r="F497">
            <v>3.66</v>
          </cell>
          <cell r="G497">
            <v>3491258</v>
          </cell>
        </row>
        <row r="498">
          <cell r="C498">
            <v>300</v>
          </cell>
          <cell r="D498">
            <v>54</v>
          </cell>
          <cell r="E498">
            <v>1</v>
          </cell>
          <cell r="F498">
            <v>3.4</v>
          </cell>
          <cell r="G498">
            <v>2366591</v>
          </cell>
        </row>
        <row r="499">
          <cell r="C499">
            <v>441</v>
          </cell>
          <cell r="D499">
            <v>46</v>
          </cell>
          <cell r="E499">
            <v>1</v>
          </cell>
          <cell r="F499">
            <v>3.71</v>
          </cell>
          <cell r="G499">
            <v>2555893</v>
          </cell>
        </row>
        <row r="500">
          <cell r="C500">
            <v>566</v>
          </cell>
          <cell r="D500">
            <v>54</v>
          </cell>
          <cell r="E500">
            <v>3</v>
          </cell>
          <cell r="F500">
            <v>3.48</v>
          </cell>
          <cell r="G500">
            <v>3496321</v>
          </cell>
        </row>
        <row r="501">
          <cell r="C501">
            <v>934</v>
          </cell>
          <cell r="D501">
            <v>52</v>
          </cell>
          <cell r="E501">
            <v>4</v>
          </cell>
          <cell r="F501">
            <v>3.47</v>
          </cell>
          <cell r="G501">
            <v>3893307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id="1" name="Table_1" displayName="Table_1" ref="F12:M16" headerRowDxfId="12" dataDxfId="11" totalsRowDxfId="10">
  <tableColumns count="8">
    <tableColumn id="1" name="Administración" dataDxfId="9">
      <calculatedColumnFormula>SUM(F10:F12)</calculatedColumnFormula>
    </tableColumn>
    <tableColumn id="2" name="Contaduría" dataDxfId="8"/>
    <tableColumn id="3" name="Ing. Energías" dataDxfId="7"/>
    <tableColumn id="4" name="Ing. Industrial" dataDxfId="6"/>
    <tableColumn id="5" name="Marketing y negocios" dataDxfId="5"/>
    <tableColumn id="6" name="Seguridad y Salud" dataDxfId="4"/>
    <tableColumn id="7" name="Tec. Logis, Ind" dataDxfId="3" totalsRowDxfId="2"/>
    <tableColumn id="8" name="TOTAL" dataDxfId="1" totalsRowDxfId="0">
      <calculatedColumnFormula>SUM(Table_1[[#This Row],[Administración]:[Tec. Logis, Ind]])</calculatedColumnFormula>
    </tableColumn>
  </tableColumns>
  <tableStyleInfo name="EJERCICIO 2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3"/>
  <sheetViews>
    <sheetView tabSelected="1" zoomScale="55" zoomScaleNormal="55" workbookViewId="0">
      <selection activeCell="F14" sqref="F14"/>
    </sheetView>
  </sheetViews>
  <sheetFormatPr baseColWidth="10" defaultColWidth="14.42578125" defaultRowHeight="15" x14ac:dyDescent="0.25"/>
  <cols>
    <col min="1" max="1" width="22.7109375" style="1" customWidth="1"/>
    <col min="2" max="2" width="14.85546875" style="1" customWidth="1"/>
    <col min="3" max="3" width="52.7109375" style="1" bestFit="1" customWidth="1"/>
    <col min="4" max="4" width="9.5703125" style="1" customWidth="1"/>
    <col min="5" max="5" width="48.28515625" style="1" bestFit="1" customWidth="1"/>
    <col min="6" max="6" width="22.28515625" style="1" customWidth="1"/>
    <col min="7" max="7" width="28.85546875" style="1" customWidth="1"/>
    <col min="8" max="8" width="18" style="1" customWidth="1"/>
    <col min="9" max="9" width="29.7109375" style="1" bestFit="1" customWidth="1"/>
    <col min="10" max="10" width="28.42578125" style="1" bestFit="1" customWidth="1"/>
    <col min="11" max="11" width="26.42578125" style="1" customWidth="1"/>
    <col min="12" max="12" width="19.42578125" style="1" bestFit="1" customWidth="1"/>
    <col min="13" max="13" width="12.140625" style="1" customWidth="1"/>
    <col min="14" max="14" width="23.85546875" style="1" customWidth="1"/>
    <col min="15" max="15" width="17.85546875" style="1" customWidth="1"/>
    <col min="16" max="16" width="12.85546875" customWidth="1"/>
    <col min="17" max="18" width="10.7109375" customWidth="1"/>
    <col min="19" max="19" width="17.85546875" customWidth="1"/>
    <col min="20" max="25" width="10.7109375" customWidth="1"/>
  </cols>
  <sheetData>
    <row r="1" spans="1:25" ht="8.25" customHeight="1" thickBot="1" x14ac:dyDescent="0.3"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54" customHeight="1" thickTop="1" thickBot="1" x14ac:dyDescent="0.3">
      <c r="A2" s="2" t="s">
        <v>0</v>
      </c>
      <c r="C2" s="3" t="s">
        <v>1</v>
      </c>
      <c r="E2" s="4" t="s">
        <v>2</v>
      </c>
      <c r="F2" s="5" t="s">
        <v>3</v>
      </c>
      <c r="M2" s="6"/>
      <c r="N2" s="6"/>
      <c r="O2" s="6"/>
      <c r="P2" s="7"/>
      <c r="Q2" s="7"/>
      <c r="R2" s="7"/>
      <c r="S2" s="7"/>
      <c r="T2" s="7"/>
      <c r="U2" s="8"/>
      <c r="V2" s="7"/>
      <c r="W2" s="7"/>
    </row>
    <row r="3" spans="1:25" ht="48.75" customHeight="1" thickTop="1" thickBot="1" x14ac:dyDescent="0.3">
      <c r="A3" s="9" t="str">
        <f>+F2</f>
        <v>Horas de Experiencia Laboral</v>
      </c>
      <c r="B3" s="9" t="s">
        <v>4</v>
      </c>
      <c r="C3" s="10" t="s">
        <v>5</v>
      </c>
      <c r="D3" s="11"/>
      <c r="E3" s="12"/>
      <c r="F3" s="13"/>
      <c r="M3" s="6"/>
      <c r="N3" s="6"/>
      <c r="O3" s="6"/>
      <c r="P3" s="14"/>
      <c r="Q3" s="14"/>
      <c r="R3" s="14"/>
      <c r="S3" s="14"/>
      <c r="T3" s="14"/>
      <c r="U3" s="14"/>
      <c r="V3" s="14"/>
      <c r="W3" s="14"/>
      <c r="X3" s="15"/>
      <c r="Y3" s="15"/>
    </row>
    <row r="4" spans="1:25" ht="16.5" thickTop="1" thickBot="1" x14ac:dyDescent="0.3">
      <c r="A4" s="16">
        <f>IF($A$3='[1]Base de datos '!$K$5,'[1]Base de datos '!C2,IF($A$3='[1]Base de datos '!$K$6,'[1]Base de datos '!D2,IF($A$3='[1]Base de datos '!$K$7,'[1]Base de datos '!E2,IF($A$3='[1]Base de datos '!$K$8,'[1]Base de datos '!F2,IF($A$3='[1]Base de datos '!$K$9,'[1]Base de datos '!G2)))))</f>
        <v>492</v>
      </c>
      <c r="B4" s="17" t="str">
        <f>IF(A4&lt;=$I$5,"BAJO",IF(A4&lt;=$I$6,"MEDIO","ALTO"))</f>
        <v>MEDIO</v>
      </c>
      <c r="C4" s="18" t="s">
        <v>6</v>
      </c>
      <c r="D4" s="19"/>
      <c r="E4" s="20" t="s">
        <v>7</v>
      </c>
      <c r="F4" s="21">
        <f>MIN(A4:A503)</f>
        <v>0</v>
      </c>
      <c r="G4" s="22"/>
      <c r="H4" s="46" t="s">
        <v>4</v>
      </c>
      <c r="I4" s="47"/>
      <c r="J4" s="23"/>
      <c r="M4" s="6"/>
      <c r="N4" s="6"/>
      <c r="O4" s="6"/>
      <c r="P4" s="7"/>
      <c r="Q4" s="7"/>
      <c r="R4" s="7"/>
      <c r="S4" s="7"/>
      <c r="T4" s="7"/>
      <c r="U4" s="7"/>
      <c r="V4" s="7"/>
      <c r="W4" s="7"/>
    </row>
    <row r="5" spans="1:25" ht="16.5" thickTop="1" thickBot="1" x14ac:dyDescent="0.3">
      <c r="A5" s="16">
        <f>IF($A$3='[1]Base de datos '!$K$5,'[1]Base de datos '!C3,IF($A$3='[1]Base de datos '!$K$6,'[1]Base de datos '!D3,IF($A$3='[1]Base de datos '!$K$7,'[1]Base de datos '!E3,IF($A$3='[1]Base de datos '!$K$8,'[1]Base de datos '!F3,IF($A$3='[1]Base de datos '!$K$9,'[1]Base de datos '!G3)))))</f>
        <v>252</v>
      </c>
      <c r="B5" s="17" t="str">
        <f>IF(A5&lt;=$I$5,"BAJO",IF(A5&lt;=$I$6,"MEDIO","ALTO"))</f>
        <v>BAJO</v>
      </c>
      <c r="C5" s="18" t="s">
        <v>8</v>
      </c>
      <c r="D5" s="24"/>
      <c r="E5" s="25" t="s">
        <v>9</v>
      </c>
      <c r="F5" s="21">
        <f>MAX(A4,A503)</f>
        <v>934</v>
      </c>
      <c r="G5" s="22"/>
      <c r="H5" s="26" t="s">
        <v>10</v>
      </c>
      <c r="I5" s="27">
        <f>F4+F7</f>
        <v>311.33333333333331</v>
      </c>
      <c r="J5" s="22"/>
      <c r="M5" s="6"/>
      <c r="N5" s="6"/>
      <c r="O5" s="6"/>
      <c r="P5" s="7"/>
      <c r="Q5" s="7"/>
      <c r="R5" s="7"/>
      <c r="S5" s="7"/>
      <c r="T5" s="7"/>
      <c r="U5" s="7"/>
      <c r="V5" s="7"/>
      <c r="W5" s="7"/>
    </row>
    <row r="6" spans="1:25" ht="16.5" thickTop="1" thickBot="1" x14ac:dyDescent="0.3">
      <c r="A6" s="16">
        <f>IF($A$3='[1]Base de datos '!$K$5,'[1]Base de datos '!C4,IF($A$3='[1]Base de datos '!$K$6,'[1]Base de datos '!D4,IF($A$3='[1]Base de datos '!$K$7,'[1]Base de datos '!E4,IF($A$3='[1]Base de datos '!$K$8,'[1]Base de datos '!F4,IF($A$3='[1]Base de datos '!$K$9,'[1]Base de datos '!G4)))))</f>
        <v>678</v>
      </c>
      <c r="B6" s="17" t="str">
        <f t="shared" ref="B6:B69" si="0">IF(A6&lt;=$I$5,"BAJO",IF(A6&lt;=$I$6,"MEDIO","ALTO"))</f>
        <v>ALTO</v>
      </c>
      <c r="C6" s="18" t="s">
        <v>11</v>
      </c>
      <c r="D6" s="24"/>
      <c r="E6" s="28" t="s">
        <v>12</v>
      </c>
      <c r="F6" s="21">
        <f>F5-F4</f>
        <v>934</v>
      </c>
      <c r="G6" s="22"/>
      <c r="H6" s="29" t="s">
        <v>13</v>
      </c>
      <c r="I6" s="30">
        <f>I5+F7</f>
        <v>622.66666666666663</v>
      </c>
      <c r="J6" s="31"/>
      <c r="M6" s="6"/>
      <c r="N6" s="6"/>
      <c r="O6" s="6"/>
      <c r="P6" s="7"/>
      <c r="Q6" s="7"/>
      <c r="R6" s="7"/>
      <c r="S6" s="7"/>
      <c r="T6" s="7"/>
      <c r="U6" s="7"/>
      <c r="V6" s="7"/>
      <c r="W6" s="7"/>
    </row>
    <row r="7" spans="1:25" ht="16.5" thickTop="1" thickBot="1" x14ac:dyDescent="0.3">
      <c r="A7" s="16">
        <f>IF($A$3='[1]Base de datos '!$K$5,'[1]Base de datos '!C5,IF($A$3='[1]Base de datos '!$K$6,'[1]Base de datos '!D5,IF($A$3='[1]Base de datos '!$K$7,'[1]Base de datos '!E5,IF($A$3='[1]Base de datos '!$K$8,'[1]Base de datos '!F5,IF($A$3='[1]Base de datos '!$K$9,'[1]Base de datos '!G5)))))</f>
        <v>597</v>
      </c>
      <c r="B7" s="17" t="str">
        <f t="shared" si="0"/>
        <v>MEDIO</v>
      </c>
      <c r="C7" s="18" t="s">
        <v>14</v>
      </c>
      <c r="D7" s="19"/>
      <c r="E7" s="20" t="s">
        <v>15</v>
      </c>
      <c r="F7" s="21">
        <f>F6/3</f>
        <v>311.33333333333331</v>
      </c>
      <c r="G7" s="22"/>
      <c r="H7" s="29" t="s">
        <v>16</v>
      </c>
      <c r="I7" s="30">
        <f>I6+F7</f>
        <v>934</v>
      </c>
      <c r="J7" s="31"/>
      <c r="M7" s="6"/>
      <c r="N7" s="6"/>
      <c r="O7" s="6"/>
      <c r="P7" s="7"/>
      <c r="Q7" s="7"/>
      <c r="R7" s="7"/>
      <c r="S7" s="7"/>
      <c r="T7" s="7"/>
      <c r="U7" s="7"/>
      <c r="V7" s="7"/>
      <c r="W7" s="7"/>
    </row>
    <row r="8" spans="1:25" ht="15.75" thickTop="1" x14ac:dyDescent="0.25">
      <c r="A8" s="16">
        <f>IF($A$3='[1]Base de datos '!$K$5,'[1]Base de datos '!C6,IF($A$3='[1]Base de datos '!$K$6,'[1]Base de datos '!D6,IF($A$3='[1]Base de datos '!$K$7,'[1]Base de datos '!E6,IF($A$3='[1]Base de datos '!$K$8,'[1]Base de datos '!F6,IF($A$3='[1]Base de datos '!$K$9,'[1]Base de datos '!G6)))))</f>
        <v>962</v>
      </c>
      <c r="B8" s="17" t="str">
        <f t="shared" si="0"/>
        <v>ALTO</v>
      </c>
      <c r="C8" s="18" t="s">
        <v>17</v>
      </c>
      <c r="D8" s="32"/>
      <c r="E8" s="33"/>
      <c r="F8" s="33"/>
      <c r="H8" s="33"/>
      <c r="I8" s="33"/>
      <c r="M8" s="6"/>
      <c r="N8" s="6"/>
      <c r="O8" s="6"/>
      <c r="P8" s="7"/>
      <c r="Q8" s="7"/>
      <c r="R8" s="7"/>
      <c r="S8" s="7"/>
      <c r="T8" s="7"/>
      <c r="U8" s="7"/>
      <c r="V8" s="7"/>
      <c r="W8" s="7"/>
    </row>
    <row r="9" spans="1:25" x14ac:dyDescent="0.25">
      <c r="A9" s="16">
        <f>IF($A$3='[1]Base de datos '!$K$5,'[1]Base de datos '!C7,IF($A$3='[1]Base de datos '!$K$6,'[1]Base de datos '!D7,IF($A$3='[1]Base de datos '!$K$7,'[1]Base de datos '!E7,IF($A$3='[1]Base de datos '!$K$8,'[1]Base de datos '!F7,IF($A$3='[1]Base de datos '!$K$9,'[1]Base de datos '!G7)))))</f>
        <v>675</v>
      </c>
      <c r="B9" s="17" t="str">
        <f t="shared" si="0"/>
        <v>ALTO</v>
      </c>
      <c r="C9" s="18" t="s">
        <v>18</v>
      </c>
      <c r="D9" s="32"/>
      <c r="M9" s="6"/>
      <c r="N9" s="6"/>
      <c r="O9" s="6"/>
      <c r="P9" s="6"/>
      <c r="Q9" s="7"/>
      <c r="R9" s="7"/>
      <c r="S9" s="7"/>
      <c r="T9" s="7"/>
      <c r="U9" s="7"/>
      <c r="V9" s="7"/>
      <c r="W9" s="7"/>
    </row>
    <row r="10" spans="1:25" x14ac:dyDescent="0.25">
      <c r="A10" s="16">
        <f>IF($A$3='[1]Base de datos '!$K$5,'[1]Base de datos '!C8,IF($A$3='[1]Base de datos '!$K$6,'[1]Base de datos '!D8,IF($A$3='[1]Base de datos '!$K$7,'[1]Base de datos '!E8,IF($A$3='[1]Base de datos '!$K$8,'[1]Base de datos '!F8,IF($A$3='[1]Base de datos '!$K$9,'[1]Base de datos '!G8)))))</f>
        <v>393</v>
      </c>
      <c r="B10" s="17" t="str">
        <f t="shared" si="0"/>
        <v>MEDIO</v>
      </c>
      <c r="C10" s="18" t="s">
        <v>14</v>
      </c>
      <c r="D10" s="32"/>
      <c r="E10" s="48" t="str">
        <f>+F2</f>
        <v>Horas de Experiencia Laboral</v>
      </c>
      <c r="F10" s="48"/>
      <c r="G10" s="48"/>
      <c r="H10" s="48"/>
      <c r="I10" s="48"/>
      <c r="J10" s="48"/>
      <c r="K10" s="48"/>
      <c r="L10" s="48"/>
      <c r="M10" s="48"/>
      <c r="N10" s="6"/>
      <c r="O10" s="6"/>
      <c r="P10" s="6"/>
      <c r="Q10" s="7"/>
      <c r="R10" s="7"/>
      <c r="S10" s="7"/>
      <c r="T10" s="7"/>
      <c r="U10" s="7"/>
      <c r="V10" s="7"/>
      <c r="W10" s="7"/>
    </row>
    <row r="11" spans="1:25" ht="15" customHeight="1" x14ac:dyDescent="0.25">
      <c r="A11" s="16">
        <f>IF($A$3='[1]Base de datos '!$K$5,'[1]Base de datos '!C9,IF($A$3='[1]Base de datos '!$K$6,'[1]Base de datos '!D9,IF($A$3='[1]Base de datos '!$K$7,'[1]Base de datos '!E9,IF($A$3='[1]Base de datos '!$K$8,'[1]Base de datos '!F9,IF($A$3='[1]Base de datos '!$K$9,'[1]Base de datos '!G9)))))</f>
        <v>201</v>
      </c>
      <c r="B11" s="17" t="str">
        <f t="shared" si="0"/>
        <v>BAJO</v>
      </c>
      <c r="C11" s="18" t="s">
        <v>19</v>
      </c>
      <c r="D11" s="32"/>
      <c r="E11" s="6"/>
      <c r="F11" s="6"/>
      <c r="G11" s="6"/>
      <c r="H11" s="6"/>
      <c r="M11" s="6"/>
      <c r="N11" s="6"/>
      <c r="O11"/>
    </row>
    <row r="12" spans="1:25" ht="15" customHeight="1" x14ac:dyDescent="0.25">
      <c r="A12" s="16">
        <f>IF($A$3='[1]Base de datos '!$K$5,'[1]Base de datos '!C10,IF($A$3='[1]Base de datos '!$K$6,'[1]Base de datos '!D10,IF($A$3='[1]Base de datos '!$K$7,'[1]Base de datos '!E10,IF($A$3='[1]Base de datos '!$K$8,'[1]Base de datos '!F10,IF($A$3='[1]Base de datos '!$K$9,'[1]Base de datos '!G10)))))</f>
        <v>753</v>
      </c>
      <c r="B12" s="17" t="str">
        <f t="shared" si="0"/>
        <v>ALTO</v>
      </c>
      <c r="C12" s="18" t="s">
        <v>14</v>
      </c>
      <c r="D12" s="32"/>
      <c r="E12" s="34" t="s">
        <v>20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25</v>
      </c>
      <c r="K12" s="35" t="s">
        <v>26</v>
      </c>
      <c r="L12" s="35" t="s">
        <v>27</v>
      </c>
      <c r="M12" s="36" t="s">
        <v>28</v>
      </c>
      <c r="N12" s="6"/>
      <c r="O12"/>
    </row>
    <row r="13" spans="1:25" ht="15" customHeight="1" x14ac:dyDescent="0.25">
      <c r="A13" s="16">
        <f>IF($A$3='[1]Base de datos '!$K$5,'[1]Base de datos '!C11,IF($A$3='[1]Base de datos '!$K$6,'[1]Base de datos '!D11,IF($A$3='[1]Base de datos '!$K$7,'[1]Base de datos '!E11,IF($A$3='[1]Base de datos '!$K$8,'[1]Base de datos '!F11,IF($A$3='[1]Base de datos '!$K$9,'[1]Base de datos '!G11)))))</f>
        <v>521</v>
      </c>
      <c r="B13" s="17" t="str">
        <f t="shared" si="0"/>
        <v>MEDIO</v>
      </c>
      <c r="C13" s="18" t="s">
        <v>17</v>
      </c>
      <c r="D13" s="32"/>
      <c r="E13" s="37" t="s">
        <v>16</v>
      </c>
      <c r="F13" s="38">
        <v>36</v>
      </c>
      <c r="G13" s="38">
        <v>39</v>
      </c>
      <c r="H13" s="38">
        <v>38</v>
      </c>
      <c r="I13" s="38">
        <v>41</v>
      </c>
      <c r="J13" s="38">
        <v>35</v>
      </c>
      <c r="K13" s="38">
        <v>27</v>
      </c>
      <c r="L13" s="38">
        <v>34</v>
      </c>
      <c r="M13" s="39">
        <f>SUM(Table_1[[#This Row],[Administración]:[Tec. Logis, Ind]])</f>
        <v>250</v>
      </c>
      <c r="N13" s="6"/>
      <c r="O13"/>
    </row>
    <row r="14" spans="1:25" ht="15" customHeight="1" x14ac:dyDescent="0.25">
      <c r="A14" s="16">
        <f>IF($A$3='[1]Base de datos '!$K$5,'[1]Base de datos '!C12,IF($A$3='[1]Base de datos '!$K$6,'[1]Base de datos '!D12,IF($A$3='[1]Base de datos '!$K$7,'[1]Base de datos '!E12,IF($A$3='[1]Base de datos '!$K$8,'[1]Base de datos '!F12,IF($A$3='[1]Base de datos '!$K$9,'[1]Base de datos '!G12)))))</f>
        <v>582</v>
      </c>
      <c r="B14" s="17" t="str">
        <f t="shared" si="0"/>
        <v>MEDIO</v>
      </c>
      <c r="C14" s="18" t="s">
        <v>17</v>
      </c>
      <c r="D14" s="32"/>
      <c r="E14" s="40" t="s">
        <v>29</v>
      </c>
      <c r="F14" s="41">
        <v>13</v>
      </c>
      <c r="G14" s="41">
        <v>9</v>
      </c>
      <c r="H14" s="41">
        <v>13</v>
      </c>
      <c r="I14" s="41">
        <v>4</v>
      </c>
      <c r="J14" s="41">
        <v>6</v>
      </c>
      <c r="K14" s="41">
        <v>8</v>
      </c>
      <c r="L14" s="41">
        <v>11</v>
      </c>
      <c r="M14" s="39">
        <f>SUM(Table_1[[#This Row],[Administración]:[Tec. Logis, Ind]])</f>
        <v>64</v>
      </c>
      <c r="N14" s="6"/>
      <c r="O14"/>
    </row>
    <row r="15" spans="1:25" ht="15" customHeight="1" x14ac:dyDescent="0.25">
      <c r="A15" s="16">
        <f>IF($A$3='[1]Base de datos '!$K$5,'[1]Base de datos '!C13,IF($A$3='[1]Base de datos '!$K$6,'[1]Base de datos '!D13,IF($A$3='[1]Base de datos '!$K$7,'[1]Base de datos '!E13,IF($A$3='[1]Base de datos '!$K$8,'[1]Base de datos '!F13,IF($A$3='[1]Base de datos '!$K$9,'[1]Base de datos '!G13)))))</f>
        <v>448</v>
      </c>
      <c r="B15" s="17" t="str">
        <f t="shared" si="0"/>
        <v>MEDIO</v>
      </c>
      <c r="C15" s="18" t="s">
        <v>14</v>
      </c>
      <c r="D15" s="32"/>
      <c r="E15" s="40" t="s">
        <v>30</v>
      </c>
      <c r="F15" s="41">
        <v>30</v>
      </c>
      <c r="G15" s="41">
        <v>24</v>
      </c>
      <c r="H15" s="41">
        <v>25</v>
      </c>
      <c r="I15" s="41">
        <v>31</v>
      </c>
      <c r="J15" s="41">
        <v>18</v>
      </c>
      <c r="K15" s="41">
        <v>26</v>
      </c>
      <c r="L15" s="41">
        <v>32</v>
      </c>
      <c r="M15" s="39">
        <f>SUM(Table_1[[#This Row],[Administración]:[Tec. Logis, Ind]])</f>
        <v>186</v>
      </c>
      <c r="N15" s="6"/>
      <c r="O15"/>
    </row>
    <row r="16" spans="1:25" ht="15" customHeight="1" x14ac:dyDescent="0.25">
      <c r="A16" s="16">
        <f>IF($A$3='[1]Base de datos '!$K$5,'[1]Base de datos '!C14,IF($A$3='[1]Base de datos '!$K$6,'[1]Base de datos '!D14,IF($A$3='[1]Base de datos '!$K$7,'[1]Base de datos '!E14,IF($A$3='[1]Base de datos '!$K$8,'[1]Base de datos '!F14,IF($A$3='[1]Base de datos '!$K$9,'[1]Base de datos '!G14)))))</f>
        <v>100</v>
      </c>
      <c r="B16" s="17" t="str">
        <f t="shared" si="0"/>
        <v>BAJO</v>
      </c>
      <c r="C16" s="18" t="s">
        <v>11</v>
      </c>
      <c r="D16" s="32"/>
      <c r="E16" s="42" t="s">
        <v>28</v>
      </c>
      <c r="F16" s="42">
        <f t="shared" ref="F16:L16" si="1">SUM(F13:F15)</f>
        <v>79</v>
      </c>
      <c r="G16" s="42">
        <f t="shared" si="1"/>
        <v>72</v>
      </c>
      <c r="H16" s="42">
        <f t="shared" si="1"/>
        <v>76</v>
      </c>
      <c r="I16" s="42">
        <f t="shared" si="1"/>
        <v>76</v>
      </c>
      <c r="J16" s="42">
        <f t="shared" si="1"/>
        <v>59</v>
      </c>
      <c r="K16" s="42">
        <f t="shared" si="1"/>
        <v>61</v>
      </c>
      <c r="L16" s="42">
        <f t="shared" si="1"/>
        <v>77</v>
      </c>
      <c r="M16" s="39">
        <f>SUM(Table_1[[#This Row],[Administración]:[Tec. Logis, Ind]])</f>
        <v>500</v>
      </c>
      <c r="N16" s="6"/>
      <c r="O16"/>
    </row>
    <row r="17" spans="1:23" x14ac:dyDescent="0.25">
      <c r="A17" s="16">
        <f>IF($A$3='[1]Base de datos '!$K$5,'[1]Base de datos '!C15,IF($A$3='[1]Base de datos '!$K$6,'[1]Base de datos '!D15,IF($A$3='[1]Base de datos '!$K$7,'[1]Base de datos '!E15,IF($A$3='[1]Base de datos '!$K$8,'[1]Base de datos '!F15,IF($A$3='[1]Base de datos '!$K$9,'[1]Base de datos '!G15)))))</f>
        <v>827</v>
      </c>
      <c r="B17" s="17" t="str">
        <f t="shared" si="0"/>
        <v>ALTO</v>
      </c>
      <c r="C17" s="18" t="s">
        <v>6</v>
      </c>
      <c r="D17" s="32"/>
      <c r="M17" s="6"/>
      <c r="N17" s="6"/>
    </row>
    <row r="18" spans="1:23" x14ac:dyDescent="0.25">
      <c r="A18" s="16">
        <f>IF($A$3='[1]Base de datos '!$K$5,'[1]Base de datos '!C16,IF($A$3='[1]Base de datos '!$K$6,'[1]Base de datos '!D16,IF($A$3='[1]Base de datos '!$K$7,'[1]Base de datos '!E16,IF($A$3='[1]Base de datos '!$K$8,'[1]Base de datos '!F16,IF($A$3='[1]Base de datos '!$K$9,'[1]Base de datos '!G16)))))</f>
        <v>721</v>
      </c>
      <c r="B18" s="17" t="str">
        <f t="shared" si="0"/>
        <v>ALTO</v>
      </c>
      <c r="C18" s="18" t="s">
        <v>18</v>
      </c>
      <c r="D18" s="32"/>
      <c r="F18" s="43"/>
      <c r="G18" s="43"/>
      <c r="H18" s="44"/>
      <c r="I18" s="43"/>
      <c r="J18" s="43"/>
      <c r="K18" s="43"/>
      <c r="L18" s="44"/>
      <c r="M18" s="6"/>
      <c r="N18" s="6"/>
      <c r="O18" s="6"/>
      <c r="P18" s="6"/>
      <c r="Q18" s="7"/>
      <c r="R18" s="7"/>
      <c r="S18" s="7"/>
      <c r="T18" s="7"/>
      <c r="U18" s="7"/>
      <c r="V18" s="7"/>
      <c r="W18" s="7"/>
    </row>
    <row r="19" spans="1:23" ht="15" customHeight="1" x14ac:dyDescent="0.25">
      <c r="A19" s="16">
        <f>IF($A$3='[1]Base de datos '!$K$5,'[1]Base de datos '!C17,IF($A$3='[1]Base de datos '!$K$6,'[1]Base de datos '!D17,IF($A$3='[1]Base de datos '!$K$7,'[1]Base de datos '!E17,IF($A$3='[1]Base de datos '!$K$8,'[1]Base de datos '!F17,IF($A$3='[1]Base de datos '!$K$9,'[1]Base de datos '!G17)))))</f>
        <v>655</v>
      </c>
      <c r="B19" s="17" t="str">
        <f t="shared" si="0"/>
        <v>ALTO</v>
      </c>
      <c r="C19" s="18" t="s">
        <v>8</v>
      </c>
      <c r="D19" s="32"/>
      <c r="F19" s="43"/>
      <c r="G19" s="43"/>
      <c r="H19" s="44"/>
      <c r="I19" s="43"/>
      <c r="J19" s="43"/>
      <c r="K19" s="43"/>
      <c r="L19" s="44"/>
      <c r="M19" s="6"/>
      <c r="N19" s="6"/>
      <c r="O19" s="6"/>
      <c r="P19" s="6"/>
      <c r="Q19" s="7"/>
      <c r="R19" s="7"/>
      <c r="S19" s="7"/>
      <c r="T19" s="7"/>
      <c r="U19" s="7"/>
      <c r="V19" s="7"/>
      <c r="W19" s="7"/>
    </row>
    <row r="20" spans="1:23" ht="15" customHeight="1" x14ac:dyDescent="0.25">
      <c r="A20" s="16">
        <f>IF($A$3='[1]Base de datos '!$K$5,'[1]Base de datos '!C18,IF($A$3='[1]Base de datos '!$K$6,'[1]Base de datos '!D18,IF($A$3='[1]Base de datos '!$K$7,'[1]Base de datos '!E18,IF($A$3='[1]Base de datos '!$K$8,'[1]Base de datos '!F18,IF($A$3='[1]Base de datos '!$K$9,'[1]Base de datos '!G18)))))</f>
        <v>766</v>
      </c>
      <c r="B20" s="17" t="str">
        <f t="shared" si="0"/>
        <v>ALTO</v>
      </c>
      <c r="C20" s="18" t="s">
        <v>19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7"/>
      <c r="W20" s="7"/>
    </row>
    <row r="21" spans="1:23" ht="15.75" customHeight="1" x14ac:dyDescent="0.25">
      <c r="A21" s="16">
        <f>IF($A$3='[1]Base de datos '!$K$5,'[1]Base de datos '!C19,IF($A$3='[1]Base de datos '!$K$6,'[1]Base de datos '!D19,IF($A$3='[1]Base de datos '!$K$7,'[1]Base de datos '!E19,IF($A$3='[1]Base de datos '!$K$8,'[1]Base de datos '!F19,IF($A$3='[1]Base de datos '!$K$9,'[1]Base de datos '!G19)))))</f>
        <v>289</v>
      </c>
      <c r="B21" s="17" t="str">
        <f t="shared" si="0"/>
        <v>BAJO</v>
      </c>
      <c r="C21" s="18" t="s">
        <v>17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7"/>
      <c r="W21" s="7"/>
    </row>
    <row r="22" spans="1:23" ht="15.75" customHeight="1" x14ac:dyDescent="0.25">
      <c r="A22" s="16">
        <f>IF($A$3='[1]Base de datos '!$K$5,'[1]Base de datos '!C20,IF($A$3='[1]Base de datos '!$K$6,'[1]Base de datos '!D20,IF($A$3='[1]Base de datos '!$K$7,'[1]Base de datos '!E20,IF($A$3='[1]Base de datos '!$K$8,'[1]Base de datos '!F20,IF($A$3='[1]Base de datos '!$K$9,'[1]Base de datos '!G20)))))</f>
        <v>1092</v>
      </c>
      <c r="B22" s="17" t="str">
        <f t="shared" si="0"/>
        <v>ALTO</v>
      </c>
      <c r="C22" s="18" t="s">
        <v>8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7"/>
      <c r="W22" s="7"/>
    </row>
    <row r="23" spans="1:23" ht="15.75" customHeight="1" x14ac:dyDescent="0.25">
      <c r="A23" s="16">
        <f>IF($A$3='[1]Base de datos '!$K$5,'[1]Base de datos '!C21,IF($A$3='[1]Base de datos '!$K$6,'[1]Base de datos '!D21,IF($A$3='[1]Base de datos '!$K$7,'[1]Base de datos '!E21,IF($A$3='[1]Base de datos '!$K$8,'[1]Base de datos '!F21,IF($A$3='[1]Base de datos '!$K$9,'[1]Base de datos '!G21)))))</f>
        <v>520</v>
      </c>
      <c r="B23" s="17" t="str">
        <f t="shared" si="0"/>
        <v>MEDIO</v>
      </c>
      <c r="C23" s="18" t="s">
        <v>19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7"/>
      <c r="W23" s="7"/>
    </row>
    <row r="24" spans="1:23" ht="15.75" customHeight="1" x14ac:dyDescent="0.25">
      <c r="A24" s="16">
        <f>IF($A$3='[1]Base de datos '!$K$5,'[1]Base de datos '!C22,IF($A$3='[1]Base de datos '!$K$6,'[1]Base de datos '!D22,IF($A$3='[1]Base de datos '!$K$7,'[1]Base de datos '!E22,IF($A$3='[1]Base de datos '!$K$8,'[1]Base de datos '!F22,IF($A$3='[1]Base de datos '!$K$9,'[1]Base de datos '!G22)))))</f>
        <v>690</v>
      </c>
      <c r="B24" s="17" t="str">
        <f t="shared" si="0"/>
        <v>ALTO</v>
      </c>
      <c r="C24" s="18" t="s">
        <v>17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7"/>
      <c r="W24" s="7"/>
    </row>
    <row r="25" spans="1:23" ht="15.75" customHeight="1" x14ac:dyDescent="0.25">
      <c r="A25" s="16">
        <f>IF($A$3='[1]Base de datos '!$K$5,'[1]Base de datos '!C23,IF($A$3='[1]Base de datos '!$K$6,'[1]Base de datos '!D23,IF($A$3='[1]Base de datos '!$K$7,'[1]Base de datos '!E23,IF($A$3='[1]Base de datos '!$K$8,'[1]Base de datos '!F23,IF($A$3='[1]Base de datos '!$K$9,'[1]Base de datos '!G23)))))</f>
        <v>787</v>
      </c>
      <c r="B25" s="17" t="str">
        <f t="shared" si="0"/>
        <v>ALTO</v>
      </c>
      <c r="C25" s="18" t="s">
        <v>6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7"/>
      <c r="W25" s="7"/>
    </row>
    <row r="26" spans="1:23" ht="15.75" customHeight="1" x14ac:dyDescent="0.25">
      <c r="A26" s="16">
        <f>IF($A$3='[1]Base de datos '!$K$5,'[1]Base de datos '!C24,IF($A$3='[1]Base de datos '!$K$6,'[1]Base de datos '!D24,IF($A$3='[1]Base de datos '!$K$7,'[1]Base de datos '!E24,IF($A$3='[1]Base de datos '!$K$8,'[1]Base de datos '!F24,IF($A$3='[1]Base de datos '!$K$9,'[1]Base de datos '!G24)))))</f>
        <v>0</v>
      </c>
      <c r="B26" s="17" t="str">
        <f t="shared" si="0"/>
        <v>BAJO</v>
      </c>
      <c r="C26" s="18" t="s">
        <v>17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7"/>
      <c r="W26" s="7"/>
    </row>
    <row r="27" spans="1:23" ht="15.75" customHeight="1" x14ac:dyDescent="0.25">
      <c r="A27" s="16">
        <f>IF($A$3='[1]Base de datos '!$K$5,'[1]Base de datos '!C25,IF($A$3='[1]Base de datos '!$K$6,'[1]Base de datos '!D25,IF($A$3='[1]Base de datos '!$K$7,'[1]Base de datos '!E25,IF($A$3='[1]Base de datos '!$K$8,'[1]Base de datos '!F25,IF($A$3='[1]Base de datos '!$K$9,'[1]Base de datos '!G25)))))</f>
        <v>1019</v>
      </c>
      <c r="B27" s="17" t="str">
        <f t="shared" si="0"/>
        <v>ALTO</v>
      </c>
      <c r="C27" s="18" t="s">
        <v>14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7"/>
      <c r="W27" s="7"/>
    </row>
    <row r="28" spans="1:23" ht="15.75" customHeight="1" x14ac:dyDescent="0.25">
      <c r="A28" s="16">
        <f>IF($A$3='[1]Base de datos '!$K$5,'[1]Base de datos '!C26,IF($A$3='[1]Base de datos '!$K$6,'[1]Base de datos '!D26,IF($A$3='[1]Base de datos '!$K$7,'[1]Base de datos '!E26,IF($A$3='[1]Base de datos '!$K$8,'[1]Base de datos '!F26,IF($A$3='[1]Base de datos '!$K$9,'[1]Base de datos '!G26)))))</f>
        <v>614</v>
      </c>
      <c r="B28" s="17" t="str">
        <f t="shared" si="0"/>
        <v>MEDIO</v>
      </c>
      <c r="C28" s="18" t="s">
        <v>19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7"/>
      <c r="W28" s="7"/>
    </row>
    <row r="29" spans="1:23" ht="15.75" customHeight="1" x14ac:dyDescent="0.25">
      <c r="A29" s="16">
        <f>IF($A$3='[1]Base de datos '!$K$5,'[1]Base de datos '!C27,IF($A$3='[1]Base de datos '!$K$6,'[1]Base de datos '!D27,IF($A$3='[1]Base de datos '!$K$7,'[1]Base de datos '!E27,IF($A$3='[1]Base de datos '!$K$8,'[1]Base de datos '!F27,IF($A$3='[1]Base de datos '!$K$9,'[1]Base de datos '!G27)))))</f>
        <v>175</v>
      </c>
      <c r="B29" s="17" t="str">
        <f t="shared" si="0"/>
        <v>BAJO</v>
      </c>
      <c r="C29" s="18" t="s">
        <v>8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</row>
    <row r="30" spans="1:23" ht="15.75" customHeight="1" x14ac:dyDescent="0.25">
      <c r="A30" s="16">
        <f>IF($A$3='[1]Base de datos '!$K$5,'[1]Base de datos '!C28,IF($A$3='[1]Base de datos '!$K$6,'[1]Base de datos '!D28,IF($A$3='[1]Base de datos '!$K$7,'[1]Base de datos '!E28,IF($A$3='[1]Base de datos '!$K$8,'[1]Base de datos '!F28,IF($A$3='[1]Base de datos '!$K$9,'[1]Base de datos '!G28)))))</f>
        <v>510</v>
      </c>
      <c r="B30" s="17" t="str">
        <f t="shared" si="0"/>
        <v>MEDIO</v>
      </c>
      <c r="C30" s="18" t="s">
        <v>14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 spans="1:23" ht="15.75" customHeight="1" x14ac:dyDescent="0.25">
      <c r="A31" s="16">
        <f>IF($A$3='[1]Base de datos '!$K$5,'[1]Base de datos '!C29,IF($A$3='[1]Base de datos '!$K$6,'[1]Base de datos '!D29,IF($A$3='[1]Base de datos '!$K$7,'[1]Base de datos '!E29,IF($A$3='[1]Base de datos '!$K$8,'[1]Base de datos '!F29,IF($A$3='[1]Base de datos '!$K$9,'[1]Base de datos '!G29)))))</f>
        <v>1282</v>
      </c>
      <c r="B31" s="17" t="str">
        <f t="shared" si="0"/>
        <v>ALTO</v>
      </c>
      <c r="C31" s="18" t="s">
        <v>6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3" ht="15.75" customHeight="1" x14ac:dyDescent="0.25">
      <c r="A32" s="16">
        <f>IF($A$3='[1]Base de datos '!$K$5,'[1]Base de datos '!C30,IF($A$3='[1]Base de datos '!$K$6,'[1]Base de datos '!D30,IF($A$3='[1]Base de datos '!$K$7,'[1]Base de datos '!E30,IF($A$3='[1]Base de datos '!$K$8,'[1]Base de datos '!F30,IF($A$3='[1]Base de datos '!$K$9,'[1]Base de datos '!G30)))))</f>
        <v>540</v>
      </c>
      <c r="B32" s="17" t="str">
        <f t="shared" si="0"/>
        <v>MEDIO</v>
      </c>
      <c r="C32" s="18" t="s">
        <v>11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3" spans="1:21" ht="15.75" customHeight="1" x14ac:dyDescent="0.25">
      <c r="A33" s="16">
        <f>IF($A$3='[1]Base de datos '!$K$5,'[1]Base de datos '!C31,IF($A$3='[1]Base de datos '!$K$6,'[1]Base de datos '!D31,IF($A$3='[1]Base de datos '!$K$7,'[1]Base de datos '!E31,IF($A$3='[1]Base de datos '!$K$8,'[1]Base de datos '!F31,IF($A$3='[1]Base de datos '!$K$9,'[1]Base de datos '!G31)))))</f>
        <v>244</v>
      </c>
      <c r="B33" s="17" t="str">
        <f t="shared" si="0"/>
        <v>BAJO</v>
      </c>
      <c r="C33" s="18" t="s">
        <v>11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1:21" ht="15.75" customHeight="1" x14ac:dyDescent="0.25">
      <c r="A34" s="16">
        <f>IF($A$3='[1]Base de datos '!$K$5,'[1]Base de datos '!C32,IF($A$3='[1]Base de datos '!$K$6,'[1]Base de datos '!D32,IF($A$3='[1]Base de datos '!$K$7,'[1]Base de datos '!E32,IF($A$3='[1]Base de datos '!$K$8,'[1]Base de datos '!F32,IF($A$3='[1]Base de datos '!$K$9,'[1]Base de datos '!G32)))))</f>
        <v>559</v>
      </c>
      <c r="B34" s="17" t="str">
        <f t="shared" si="0"/>
        <v>MEDIO</v>
      </c>
      <c r="C34" s="18" t="s">
        <v>11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</row>
    <row r="35" spans="1:21" ht="15.75" customHeight="1" x14ac:dyDescent="0.25">
      <c r="A35" s="16">
        <f>IF($A$3='[1]Base de datos '!$K$5,'[1]Base de datos '!C33,IF($A$3='[1]Base de datos '!$K$6,'[1]Base de datos '!D33,IF($A$3='[1]Base de datos '!$K$7,'[1]Base de datos '!E33,IF($A$3='[1]Base de datos '!$K$8,'[1]Base de datos '!F33,IF($A$3='[1]Base de datos '!$K$9,'[1]Base de datos '!G33)))))</f>
        <v>696</v>
      </c>
      <c r="B35" s="17" t="str">
        <f t="shared" si="0"/>
        <v>ALTO</v>
      </c>
      <c r="C35" s="18" t="s">
        <v>11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1:21" ht="15.75" customHeight="1" x14ac:dyDescent="0.25">
      <c r="A36" s="16">
        <f>IF($A$3='[1]Base de datos '!$K$5,'[1]Base de datos '!C34,IF($A$3='[1]Base de datos '!$K$6,'[1]Base de datos '!D34,IF($A$3='[1]Base de datos '!$K$7,'[1]Base de datos '!E34,IF($A$3='[1]Base de datos '!$K$8,'[1]Base de datos '!F34,IF($A$3='[1]Base de datos '!$K$9,'[1]Base de datos '!G34)))))</f>
        <v>445</v>
      </c>
      <c r="B36" s="17" t="str">
        <f t="shared" si="0"/>
        <v>MEDIO</v>
      </c>
      <c r="C36" s="18" t="s">
        <v>18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</row>
    <row r="37" spans="1:21" ht="15.75" customHeight="1" x14ac:dyDescent="0.25">
      <c r="A37" s="16">
        <f>IF($A$3='[1]Base de datos '!$K$5,'[1]Base de datos '!C35,IF($A$3='[1]Base de datos '!$K$6,'[1]Base de datos '!D35,IF($A$3='[1]Base de datos '!$K$7,'[1]Base de datos '!E35,IF($A$3='[1]Base de datos '!$K$8,'[1]Base de datos '!F35,IF($A$3='[1]Base de datos '!$K$9,'[1]Base de datos '!G35)))))</f>
        <v>449</v>
      </c>
      <c r="B37" s="17" t="str">
        <f t="shared" si="0"/>
        <v>MEDIO</v>
      </c>
      <c r="C37" s="18" t="s">
        <v>14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 spans="1:21" ht="15.75" customHeight="1" x14ac:dyDescent="0.25">
      <c r="A38" s="16">
        <f>IF($A$3='[1]Base de datos '!$K$5,'[1]Base de datos '!C36,IF($A$3='[1]Base de datos '!$K$6,'[1]Base de datos '!D36,IF($A$3='[1]Base de datos '!$K$7,'[1]Base de datos '!E36,IF($A$3='[1]Base de datos '!$K$8,'[1]Base de datos '!F36,IF($A$3='[1]Base de datos '!$K$9,'[1]Base de datos '!G36)))))</f>
        <v>895</v>
      </c>
      <c r="B38" s="17" t="str">
        <f t="shared" si="0"/>
        <v>ALTO</v>
      </c>
      <c r="C38" s="18" t="s">
        <v>8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39" spans="1:21" ht="15.75" customHeight="1" x14ac:dyDescent="0.25">
      <c r="A39" s="16">
        <f>IF($A$3='[1]Base de datos '!$K$5,'[1]Base de datos '!C37,IF($A$3='[1]Base de datos '!$K$6,'[1]Base de datos '!D37,IF($A$3='[1]Base de datos '!$K$7,'[1]Base de datos '!E37,IF($A$3='[1]Base de datos '!$K$8,'[1]Base de datos '!F37,IF($A$3='[1]Base de datos '!$K$9,'[1]Base de datos '!G37)))))</f>
        <v>808</v>
      </c>
      <c r="B39" s="17" t="str">
        <f t="shared" si="0"/>
        <v>ALTO</v>
      </c>
      <c r="C39" s="18" t="s">
        <v>17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 spans="1:21" ht="15.75" customHeight="1" x14ac:dyDescent="0.25">
      <c r="A40" s="16">
        <f>IF($A$3='[1]Base de datos '!$K$5,'[1]Base de datos '!C38,IF($A$3='[1]Base de datos '!$K$6,'[1]Base de datos '!D38,IF($A$3='[1]Base de datos '!$K$7,'[1]Base de datos '!E38,IF($A$3='[1]Base de datos '!$K$8,'[1]Base de datos '!F38,IF($A$3='[1]Base de datos '!$K$9,'[1]Base de datos '!G38)))))</f>
        <v>599</v>
      </c>
      <c r="B40" s="17" t="str">
        <f t="shared" si="0"/>
        <v>MEDIO</v>
      </c>
      <c r="C40" s="18" t="s">
        <v>19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 spans="1:21" ht="15.75" customHeight="1" x14ac:dyDescent="0.25">
      <c r="A41" s="16">
        <f>IF($A$3='[1]Base de datos '!$K$5,'[1]Base de datos '!C39,IF($A$3='[1]Base de datos '!$K$6,'[1]Base de datos '!D39,IF($A$3='[1]Base de datos '!$K$7,'[1]Base de datos '!E39,IF($A$3='[1]Base de datos '!$K$8,'[1]Base de datos '!F39,IF($A$3='[1]Base de datos '!$K$9,'[1]Base de datos '!G39)))))</f>
        <v>583</v>
      </c>
      <c r="B41" s="17" t="str">
        <f t="shared" si="0"/>
        <v>MEDIO</v>
      </c>
      <c r="C41" s="18" t="s">
        <v>6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 spans="1:21" ht="15.75" customHeight="1" x14ac:dyDescent="0.25">
      <c r="A42" s="16">
        <f>IF($A$3='[1]Base de datos '!$K$5,'[1]Base de datos '!C40,IF($A$3='[1]Base de datos '!$K$6,'[1]Base de datos '!D40,IF($A$3='[1]Base de datos '!$K$7,'[1]Base de datos '!E40,IF($A$3='[1]Base de datos '!$K$8,'[1]Base de datos '!F40,IF($A$3='[1]Base de datos '!$K$9,'[1]Base de datos '!G40)))))</f>
        <v>637</v>
      </c>
      <c r="B42" s="17" t="str">
        <f t="shared" si="0"/>
        <v>ALTO</v>
      </c>
      <c r="C42" s="18" t="s">
        <v>11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 spans="1:21" ht="15.75" customHeight="1" x14ac:dyDescent="0.25">
      <c r="A43" s="16">
        <f>IF($A$3='[1]Base de datos '!$K$5,'[1]Base de datos '!C41,IF($A$3='[1]Base de datos '!$K$6,'[1]Base de datos '!D41,IF($A$3='[1]Base de datos '!$K$7,'[1]Base de datos '!E41,IF($A$3='[1]Base de datos '!$K$8,'[1]Base de datos '!F41,IF($A$3='[1]Base de datos '!$K$9,'[1]Base de datos '!G41)))))</f>
        <v>492</v>
      </c>
      <c r="B43" s="17" t="str">
        <f t="shared" si="0"/>
        <v>MEDIO</v>
      </c>
      <c r="C43" s="18" t="s">
        <v>8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 spans="1:21" ht="15.75" customHeight="1" x14ac:dyDescent="0.25">
      <c r="A44" s="16">
        <f>IF($A$3='[1]Base de datos '!$K$5,'[1]Base de datos '!C42,IF($A$3='[1]Base de datos '!$K$6,'[1]Base de datos '!D42,IF($A$3='[1]Base de datos '!$K$7,'[1]Base de datos '!E42,IF($A$3='[1]Base de datos '!$K$8,'[1]Base de datos '!F42,IF($A$3='[1]Base de datos '!$K$9,'[1]Base de datos '!G42)))))</f>
        <v>597</v>
      </c>
      <c r="B44" s="17" t="str">
        <f t="shared" si="0"/>
        <v>MEDIO</v>
      </c>
      <c r="C44" s="18" t="s">
        <v>17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 spans="1:21" ht="15.75" customHeight="1" x14ac:dyDescent="0.25">
      <c r="A45" s="16">
        <f>IF($A$3='[1]Base de datos '!$K$5,'[1]Base de datos '!C43,IF($A$3='[1]Base de datos '!$K$6,'[1]Base de datos '!D43,IF($A$3='[1]Base de datos '!$K$7,'[1]Base de datos '!E43,IF($A$3='[1]Base de datos '!$K$8,'[1]Base de datos '!F43,IF($A$3='[1]Base de datos '!$K$9,'[1]Base de datos '!G43)))))</f>
        <v>634</v>
      </c>
      <c r="B45" s="17" t="str">
        <f t="shared" si="0"/>
        <v>ALTO</v>
      </c>
      <c r="C45" s="18" t="s">
        <v>6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spans="1:21" ht="15.75" customHeight="1" x14ac:dyDescent="0.25">
      <c r="A46" s="16">
        <f>IF($A$3='[1]Base de datos '!$K$5,'[1]Base de datos '!C44,IF($A$3='[1]Base de datos '!$K$6,'[1]Base de datos '!D44,IF($A$3='[1]Base de datos '!$K$7,'[1]Base de datos '!E44,IF($A$3='[1]Base de datos '!$K$8,'[1]Base de datos '!F44,IF($A$3='[1]Base de datos '!$K$9,'[1]Base de datos '!G44)))))</f>
        <v>969</v>
      </c>
      <c r="B46" s="17" t="str">
        <f t="shared" si="0"/>
        <v>ALTO</v>
      </c>
      <c r="C46" s="18" t="s">
        <v>11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spans="1:21" ht="15.75" customHeight="1" x14ac:dyDescent="0.25">
      <c r="A47" s="16">
        <f>IF($A$3='[1]Base de datos '!$K$5,'[1]Base de datos '!C45,IF($A$3='[1]Base de datos '!$K$6,'[1]Base de datos '!D45,IF($A$3='[1]Base de datos '!$K$7,'[1]Base de datos '!E45,IF($A$3='[1]Base de datos '!$K$8,'[1]Base de datos '!F45,IF($A$3='[1]Base de datos '!$K$9,'[1]Base de datos '!G45)))))</f>
        <v>308</v>
      </c>
      <c r="B47" s="17" t="str">
        <f t="shared" si="0"/>
        <v>BAJO</v>
      </c>
      <c r="C47" s="18" t="s">
        <v>11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1:21" ht="15.75" customHeight="1" x14ac:dyDescent="0.25">
      <c r="A48" s="16">
        <f>IF($A$3='[1]Base de datos '!$K$5,'[1]Base de datos '!C46,IF($A$3='[1]Base de datos '!$K$6,'[1]Base de datos '!D46,IF($A$3='[1]Base de datos '!$K$7,'[1]Base de datos '!E46,IF($A$3='[1]Base de datos '!$K$8,'[1]Base de datos '!F46,IF($A$3='[1]Base de datos '!$K$9,'[1]Base de datos '!G46)))))</f>
        <v>835</v>
      </c>
      <c r="B48" s="17" t="str">
        <f t="shared" si="0"/>
        <v>ALTO</v>
      </c>
      <c r="C48" s="18" t="s">
        <v>14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1:21" ht="15.75" customHeight="1" x14ac:dyDescent="0.25">
      <c r="A49" s="16">
        <f>IF($A$3='[1]Base de datos '!$K$5,'[1]Base de datos '!C47,IF($A$3='[1]Base de datos '!$K$6,'[1]Base de datos '!D47,IF($A$3='[1]Base de datos '!$K$7,'[1]Base de datos '!E47,IF($A$3='[1]Base de datos '!$K$8,'[1]Base de datos '!F47,IF($A$3='[1]Base de datos '!$K$9,'[1]Base de datos '!G47)))))</f>
        <v>1018</v>
      </c>
      <c r="B49" s="17" t="str">
        <f t="shared" si="0"/>
        <v>ALTO</v>
      </c>
      <c r="C49" s="18" t="s">
        <v>6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1:21" ht="15.75" customHeight="1" x14ac:dyDescent="0.25">
      <c r="A50" s="16">
        <f>IF($A$3='[1]Base de datos '!$K$5,'[1]Base de datos '!C48,IF($A$3='[1]Base de datos '!$K$6,'[1]Base de datos '!D48,IF($A$3='[1]Base de datos '!$K$7,'[1]Base de datos '!E48,IF($A$3='[1]Base de datos '!$K$8,'[1]Base de datos '!F48,IF($A$3='[1]Base de datos '!$K$9,'[1]Base de datos '!G48)))))</f>
        <v>386</v>
      </c>
      <c r="B50" s="17" t="str">
        <f t="shared" si="0"/>
        <v>MEDIO</v>
      </c>
      <c r="C50" s="18" t="s">
        <v>19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spans="1:21" ht="15.75" customHeight="1" x14ac:dyDescent="0.25">
      <c r="A51" s="16">
        <f>IF($A$3='[1]Base de datos '!$K$5,'[1]Base de datos '!C49,IF($A$3='[1]Base de datos '!$K$6,'[1]Base de datos '!D49,IF($A$3='[1]Base de datos '!$K$7,'[1]Base de datos '!E49,IF($A$3='[1]Base de datos '!$K$8,'[1]Base de datos '!F49,IF($A$3='[1]Base de datos '!$K$9,'[1]Base de datos '!G49)))))</f>
        <v>646</v>
      </c>
      <c r="B51" s="17" t="str">
        <f t="shared" si="0"/>
        <v>ALTO</v>
      </c>
      <c r="C51" s="18" t="s">
        <v>19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spans="1:21" ht="15.75" customHeight="1" x14ac:dyDescent="0.25">
      <c r="A52" s="16">
        <f>IF($A$3='[1]Base de datos '!$K$5,'[1]Base de datos '!C50,IF($A$3='[1]Base de datos '!$K$6,'[1]Base de datos '!D50,IF($A$3='[1]Base de datos '!$K$7,'[1]Base de datos '!E50,IF($A$3='[1]Base de datos '!$K$8,'[1]Base de datos '!F50,IF($A$3='[1]Base de datos '!$K$9,'[1]Base de datos '!G50)))))</f>
        <v>663</v>
      </c>
      <c r="B52" s="17" t="str">
        <f t="shared" si="0"/>
        <v>ALTO</v>
      </c>
      <c r="C52" s="18" t="s">
        <v>17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spans="1:21" ht="15.75" customHeight="1" x14ac:dyDescent="0.25">
      <c r="A53" s="16">
        <f>IF($A$3='[1]Base de datos '!$K$5,'[1]Base de datos '!C51,IF($A$3='[1]Base de datos '!$K$6,'[1]Base de datos '!D51,IF($A$3='[1]Base de datos '!$K$7,'[1]Base de datos '!E51,IF($A$3='[1]Base de datos '!$K$8,'[1]Base de datos '!F51,IF($A$3='[1]Base de datos '!$K$9,'[1]Base de datos '!G51)))))</f>
        <v>559</v>
      </c>
      <c r="B53" s="17" t="str">
        <f t="shared" si="0"/>
        <v>MEDIO</v>
      </c>
      <c r="C53" s="18" t="s">
        <v>11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spans="1:21" ht="15.75" customHeight="1" x14ac:dyDescent="0.25">
      <c r="A54" s="16">
        <f>IF($A$3='[1]Base de datos '!$K$5,'[1]Base de datos '!C52,IF($A$3='[1]Base de datos '!$K$6,'[1]Base de datos '!D52,IF($A$3='[1]Base de datos '!$K$7,'[1]Base de datos '!E52,IF($A$3='[1]Base de datos '!$K$8,'[1]Base de datos '!F52,IF($A$3='[1]Base de datos '!$K$9,'[1]Base de datos '!G52)))))</f>
        <v>480</v>
      </c>
      <c r="B54" s="17" t="str">
        <f t="shared" si="0"/>
        <v>MEDIO</v>
      </c>
      <c r="C54" s="18" t="s">
        <v>17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spans="1:21" ht="15.75" customHeight="1" x14ac:dyDescent="0.25">
      <c r="A55" s="16">
        <f>IF($A$3='[1]Base de datos '!$K$5,'[1]Base de datos '!C53,IF($A$3='[1]Base de datos '!$K$6,'[1]Base de datos '!D53,IF($A$3='[1]Base de datos '!$K$7,'[1]Base de datos '!E53,IF($A$3='[1]Base de datos '!$K$8,'[1]Base de datos '!F53,IF($A$3='[1]Base de datos '!$K$9,'[1]Base de datos '!G53)))))</f>
        <v>350</v>
      </c>
      <c r="B55" s="17" t="str">
        <f t="shared" si="0"/>
        <v>MEDIO</v>
      </c>
      <c r="C55" s="18" t="s">
        <v>8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spans="1:21" ht="15.75" customHeight="1" x14ac:dyDescent="0.25">
      <c r="A56" s="16">
        <f>IF($A$3='[1]Base de datos '!$K$5,'[1]Base de datos '!C54,IF($A$3='[1]Base de datos '!$K$6,'[1]Base de datos '!D54,IF($A$3='[1]Base de datos '!$K$7,'[1]Base de datos '!E54,IF($A$3='[1]Base de datos '!$K$8,'[1]Base de datos '!F54,IF($A$3='[1]Base de datos '!$K$9,'[1]Base de datos '!G54)))))</f>
        <v>47</v>
      </c>
      <c r="B56" s="17" t="str">
        <f t="shared" si="0"/>
        <v>BAJO</v>
      </c>
      <c r="C56" s="18" t="s">
        <v>6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1:21" ht="15.75" customHeight="1" x14ac:dyDescent="0.25">
      <c r="A57" s="16">
        <f>IF($A$3='[1]Base de datos '!$K$5,'[1]Base de datos '!C55,IF($A$3='[1]Base de datos '!$K$6,'[1]Base de datos '!D55,IF($A$3='[1]Base de datos '!$K$7,'[1]Base de datos '!E55,IF($A$3='[1]Base de datos '!$K$8,'[1]Base de datos '!F55,IF($A$3='[1]Base de datos '!$K$9,'[1]Base de datos '!G55)))))</f>
        <v>744</v>
      </c>
      <c r="B57" s="17" t="str">
        <f t="shared" si="0"/>
        <v>ALTO</v>
      </c>
      <c r="C57" s="18" t="s">
        <v>11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1:21" ht="15.75" customHeight="1" x14ac:dyDescent="0.25">
      <c r="A58" s="16">
        <f>IF($A$3='[1]Base de datos '!$K$5,'[1]Base de datos '!C56,IF($A$3='[1]Base de datos '!$K$6,'[1]Base de datos '!D56,IF($A$3='[1]Base de datos '!$K$7,'[1]Base de datos '!E56,IF($A$3='[1]Base de datos '!$K$8,'[1]Base de datos '!F56,IF($A$3='[1]Base de datos '!$K$9,'[1]Base de datos '!G56)))))</f>
        <v>0</v>
      </c>
      <c r="B58" s="17" t="str">
        <f t="shared" si="0"/>
        <v>BAJO</v>
      </c>
      <c r="C58" s="18" t="s">
        <v>6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</row>
    <row r="59" spans="1:21" ht="15.75" customHeight="1" x14ac:dyDescent="0.25">
      <c r="A59" s="16">
        <f>IF($A$3='[1]Base de datos '!$K$5,'[1]Base de datos '!C57,IF($A$3='[1]Base de datos '!$K$6,'[1]Base de datos '!D57,IF($A$3='[1]Base de datos '!$K$7,'[1]Base de datos '!E57,IF($A$3='[1]Base de datos '!$K$8,'[1]Base de datos '!F57,IF($A$3='[1]Base de datos '!$K$9,'[1]Base de datos '!G57)))))</f>
        <v>727</v>
      </c>
      <c r="B59" s="17" t="str">
        <f t="shared" si="0"/>
        <v>ALTO</v>
      </c>
      <c r="C59" s="18" t="s">
        <v>19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</row>
    <row r="60" spans="1:21" ht="15.75" customHeight="1" x14ac:dyDescent="0.25">
      <c r="A60" s="16">
        <f>IF($A$3='[1]Base de datos '!$K$5,'[1]Base de datos '!C58,IF($A$3='[1]Base de datos '!$K$6,'[1]Base de datos '!D58,IF($A$3='[1]Base de datos '!$K$7,'[1]Base de datos '!E58,IF($A$3='[1]Base de datos '!$K$8,'[1]Base de datos '!F58,IF($A$3='[1]Base de datos '!$K$9,'[1]Base de datos '!G58)))))</f>
        <v>829</v>
      </c>
      <c r="B60" s="17" t="str">
        <f t="shared" si="0"/>
        <v>ALTO</v>
      </c>
      <c r="C60" s="18" t="s">
        <v>14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</row>
    <row r="61" spans="1:21" ht="15.75" customHeight="1" x14ac:dyDescent="0.25">
      <c r="A61" s="16">
        <f>IF($A$3='[1]Base de datos '!$K$5,'[1]Base de datos '!C59,IF($A$3='[1]Base de datos '!$K$6,'[1]Base de datos '!D59,IF($A$3='[1]Base de datos '!$K$7,'[1]Base de datos '!E59,IF($A$3='[1]Base de datos '!$K$8,'[1]Base de datos '!F59,IF($A$3='[1]Base de datos '!$K$9,'[1]Base de datos '!G59)))))</f>
        <v>342</v>
      </c>
      <c r="B61" s="17" t="str">
        <f t="shared" si="0"/>
        <v>MEDIO</v>
      </c>
      <c r="C61" s="18" t="s">
        <v>14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 spans="1:21" ht="15.75" customHeight="1" x14ac:dyDescent="0.25">
      <c r="A62" s="16">
        <f>IF($A$3='[1]Base de datos '!$K$5,'[1]Base de datos '!C60,IF($A$3='[1]Base de datos '!$K$6,'[1]Base de datos '!D60,IF($A$3='[1]Base de datos '!$K$7,'[1]Base de datos '!E60,IF($A$3='[1]Base de datos '!$K$8,'[1]Base de datos '!F60,IF($A$3='[1]Base de datos '!$K$9,'[1]Base de datos '!G60)))))</f>
        <v>741</v>
      </c>
      <c r="B62" s="17" t="str">
        <f t="shared" si="0"/>
        <v>ALTO</v>
      </c>
      <c r="C62" s="18" t="s">
        <v>18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</row>
    <row r="63" spans="1:21" ht="15.75" customHeight="1" x14ac:dyDescent="0.25">
      <c r="A63" s="16">
        <f>IF($A$3='[1]Base de datos '!$K$5,'[1]Base de datos '!C61,IF($A$3='[1]Base de datos '!$K$6,'[1]Base de datos '!D61,IF($A$3='[1]Base de datos '!$K$7,'[1]Base de datos '!E61,IF($A$3='[1]Base de datos '!$K$8,'[1]Base de datos '!F61,IF($A$3='[1]Base de datos '!$K$9,'[1]Base de datos '!G61)))))</f>
        <v>779</v>
      </c>
      <c r="B63" s="17" t="str">
        <f t="shared" si="0"/>
        <v>ALTO</v>
      </c>
      <c r="C63" s="18" t="s">
        <v>19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</row>
    <row r="64" spans="1:21" ht="15.75" customHeight="1" x14ac:dyDescent="0.25">
      <c r="A64" s="16">
        <f>IF($A$3='[1]Base de datos '!$K$5,'[1]Base de datos '!C62,IF($A$3='[1]Base de datos '!$K$6,'[1]Base de datos '!D62,IF($A$3='[1]Base de datos '!$K$7,'[1]Base de datos '!E62,IF($A$3='[1]Base de datos '!$K$8,'[1]Base de datos '!F62,IF($A$3='[1]Base de datos '!$K$9,'[1]Base de datos '!G62)))))</f>
        <v>779</v>
      </c>
      <c r="B64" s="17" t="str">
        <f t="shared" si="0"/>
        <v>ALTO</v>
      </c>
      <c r="C64" s="18" t="s">
        <v>14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</row>
    <row r="65" spans="1:21" ht="15.75" customHeight="1" x14ac:dyDescent="0.25">
      <c r="A65" s="16">
        <f>IF($A$3='[1]Base de datos '!$K$5,'[1]Base de datos '!C63,IF($A$3='[1]Base de datos '!$K$6,'[1]Base de datos '!D63,IF($A$3='[1]Base de datos '!$K$7,'[1]Base de datos '!E63,IF($A$3='[1]Base de datos '!$K$8,'[1]Base de datos '!F63,IF($A$3='[1]Base de datos '!$K$9,'[1]Base de datos '!G63)))))</f>
        <v>489</v>
      </c>
      <c r="B65" s="17" t="str">
        <f t="shared" si="0"/>
        <v>MEDIO</v>
      </c>
      <c r="C65" s="18" t="s">
        <v>17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</row>
    <row r="66" spans="1:21" ht="15.75" customHeight="1" x14ac:dyDescent="0.25">
      <c r="A66" s="16">
        <f>IF($A$3='[1]Base de datos '!$K$5,'[1]Base de datos '!C64,IF($A$3='[1]Base de datos '!$K$6,'[1]Base de datos '!D64,IF($A$3='[1]Base de datos '!$K$7,'[1]Base de datos '!E64,IF($A$3='[1]Base de datos '!$K$8,'[1]Base de datos '!F64,IF($A$3='[1]Base de datos '!$K$9,'[1]Base de datos '!G64)))))</f>
        <v>688</v>
      </c>
      <c r="B66" s="17" t="str">
        <f t="shared" si="0"/>
        <v>ALTO</v>
      </c>
      <c r="C66" s="18" t="s">
        <v>8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</row>
    <row r="67" spans="1:21" ht="15.75" customHeight="1" x14ac:dyDescent="0.25">
      <c r="A67" s="16">
        <f>IF($A$3='[1]Base de datos '!$K$5,'[1]Base de datos '!C65,IF($A$3='[1]Base de datos '!$K$6,'[1]Base de datos '!D65,IF($A$3='[1]Base de datos '!$K$7,'[1]Base de datos '!E65,IF($A$3='[1]Base de datos '!$K$8,'[1]Base de datos '!F65,IF($A$3='[1]Base de datos '!$K$9,'[1]Base de datos '!G65)))))</f>
        <v>651</v>
      </c>
      <c r="B67" s="17" t="str">
        <f t="shared" si="0"/>
        <v>ALTO</v>
      </c>
      <c r="C67" s="18" t="s">
        <v>8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</row>
    <row r="68" spans="1:21" ht="15.75" customHeight="1" x14ac:dyDescent="0.25">
      <c r="A68" s="16">
        <f>IF($A$3='[1]Base de datos '!$K$5,'[1]Base de datos '!C66,IF($A$3='[1]Base de datos '!$K$6,'[1]Base de datos '!D66,IF($A$3='[1]Base de datos '!$K$7,'[1]Base de datos '!E66,IF($A$3='[1]Base de datos '!$K$8,'[1]Base de datos '!F66,IF($A$3='[1]Base de datos '!$K$9,'[1]Base de datos '!G66)))))</f>
        <v>398</v>
      </c>
      <c r="B68" s="17" t="str">
        <f t="shared" si="0"/>
        <v>MEDIO</v>
      </c>
      <c r="C68" s="18" t="s">
        <v>11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</row>
    <row r="69" spans="1:21" ht="15.75" customHeight="1" x14ac:dyDescent="0.25">
      <c r="A69" s="16">
        <f>IF($A$3='[1]Base de datos '!$K$5,'[1]Base de datos '!C67,IF($A$3='[1]Base de datos '!$K$6,'[1]Base de datos '!D67,IF($A$3='[1]Base de datos '!$K$7,'[1]Base de datos '!E67,IF($A$3='[1]Base de datos '!$K$8,'[1]Base de datos '!F67,IF($A$3='[1]Base de datos '!$K$9,'[1]Base de datos '!G67)))))</f>
        <v>468</v>
      </c>
      <c r="B69" s="17" t="str">
        <f t="shared" si="0"/>
        <v>MEDIO</v>
      </c>
      <c r="C69" s="18" t="s">
        <v>19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</row>
    <row r="70" spans="1:21" ht="15.75" customHeight="1" x14ac:dyDescent="0.25">
      <c r="A70" s="16">
        <f>IF($A$3='[1]Base de datos '!$K$5,'[1]Base de datos '!C68,IF($A$3='[1]Base de datos '!$K$6,'[1]Base de datos '!D68,IF($A$3='[1]Base de datos '!$K$7,'[1]Base de datos '!E68,IF($A$3='[1]Base de datos '!$K$8,'[1]Base de datos '!F68,IF($A$3='[1]Base de datos '!$K$9,'[1]Base de datos '!G68)))))</f>
        <v>762</v>
      </c>
      <c r="B70" s="17" t="str">
        <f t="shared" ref="B70:B133" si="2">IF(A70&lt;=$I$5,"BAJO",IF(A70&lt;=$I$6,"MEDIO","ALTO"))</f>
        <v>ALTO</v>
      </c>
      <c r="C70" s="18" t="s">
        <v>11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</row>
    <row r="71" spans="1:21" ht="15.75" customHeight="1" x14ac:dyDescent="0.25">
      <c r="A71" s="16">
        <f>IF($A$3='[1]Base de datos '!$K$5,'[1]Base de datos '!C69,IF($A$3='[1]Base de datos '!$K$6,'[1]Base de datos '!D69,IF($A$3='[1]Base de datos '!$K$7,'[1]Base de datos '!E69,IF($A$3='[1]Base de datos '!$K$8,'[1]Base de datos '!F69,IF($A$3='[1]Base de datos '!$K$9,'[1]Base de datos '!G69)))))</f>
        <v>465</v>
      </c>
      <c r="B71" s="17" t="str">
        <f t="shared" si="2"/>
        <v>MEDIO</v>
      </c>
      <c r="C71" s="18" t="s">
        <v>14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</row>
    <row r="72" spans="1:21" ht="15.75" customHeight="1" x14ac:dyDescent="0.25">
      <c r="A72" s="16">
        <f>IF($A$3='[1]Base de datos '!$K$5,'[1]Base de datos '!C70,IF($A$3='[1]Base de datos '!$K$6,'[1]Base de datos '!D70,IF($A$3='[1]Base de datos '!$K$7,'[1]Base de datos '!E70,IF($A$3='[1]Base de datos '!$K$8,'[1]Base de datos '!F70,IF($A$3='[1]Base de datos '!$K$9,'[1]Base de datos '!G70)))))</f>
        <v>713</v>
      </c>
      <c r="B72" s="17" t="str">
        <f t="shared" si="2"/>
        <v>ALTO</v>
      </c>
      <c r="C72" s="18" t="s">
        <v>17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</row>
    <row r="73" spans="1:21" ht="15.75" customHeight="1" x14ac:dyDescent="0.25">
      <c r="A73" s="16">
        <f>IF($A$3='[1]Base de datos '!$K$5,'[1]Base de datos '!C71,IF($A$3='[1]Base de datos '!$K$6,'[1]Base de datos '!D71,IF($A$3='[1]Base de datos '!$K$7,'[1]Base de datos '!E71,IF($A$3='[1]Base de datos '!$K$8,'[1]Base de datos '!F71,IF($A$3='[1]Base de datos '!$K$9,'[1]Base de datos '!G71)))))</f>
        <v>624</v>
      </c>
      <c r="B73" s="17" t="str">
        <f t="shared" si="2"/>
        <v>ALTO</v>
      </c>
      <c r="C73" s="18" t="s">
        <v>18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</row>
    <row r="74" spans="1:21" ht="15.75" customHeight="1" x14ac:dyDescent="0.25">
      <c r="A74" s="16">
        <f>IF($A$3='[1]Base de datos '!$K$5,'[1]Base de datos '!C72,IF($A$3='[1]Base de datos '!$K$6,'[1]Base de datos '!D72,IF($A$3='[1]Base de datos '!$K$7,'[1]Base de datos '!E72,IF($A$3='[1]Base de datos '!$K$8,'[1]Base de datos '!F72,IF($A$3='[1]Base de datos '!$K$9,'[1]Base de datos '!G72)))))</f>
        <v>541</v>
      </c>
      <c r="B74" s="17" t="str">
        <f t="shared" si="2"/>
        <v>MEDIO</v>
      </c>
      <c r="C74" s="18" t="s">
        <v>8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</row>
    <row r="75" spans="1:21" ht="15.75" customHeight="1" x14ac:dyDescent="0.25">
      <c r="A75" s="16">
        <f>IF($A$3='[1]Base de datos '!$K$5,'[1]Base de datos '!C73,IF($A$3='[1]Base de datos '!$K$6,'[1]Base de datos '!D73,IF($A$3='[1]Base de datos '!$K$7,'[1]Base de datos '!E73,IF($A$3='[1]Base de datos '!$K$8,'[1]Base de datos '!F73,IF($A$3='[1]Base de datos '!$K$9,'[1]Base de datos '!G73)))))</f>
        <v>629</v>
      </c>
      <c r="B75" s="17" t="str">
        <f t="shared" si="2"/>
        <v>ALTO</v>
      </c>
      <c r="C75" s="18" t="s">
        <v>14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</row>
    <row r="76" spans="1:21" ht="15.75" customHeight="1" x14ac:dyDescent="0.25">
      <c r="A76" s="16">
        <f>IF($A$3='[1]Base de datos '!$K$5,'[1]Base de datos '!C74,IF($A$3='[1]Base de datos '!$K$6,'[1]Base de datos '!D74,IF($A$3='[1]Base de datos '!$K$7,'[1]Base de datos '!E74,IF($A$3='[1]Base de datos '!$K$8,'[1]Base de datos '!F74,IF($A$3='[1]Base de datos '!$K$9,'[1]Base de datos '!G74)))))</f>
        <v>685</v>
      </c>
      <c r="B76" s="17" t="str">
        <f t="shared" si="2"/>
        <v>ALTO</v>
      </c>
      <c r="C76" s="18" t="s">
        <v>18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</row>
    <row r="77" spans="1:21" ht="15.75" customHeight="1" x14ac:dyDescent="0.25">
      <c r="A77" s="16">
        <f>IF($A$3='[1]Base de datos '!$K$5,'[1]Base de datos '!C75,IF($A$3='[1]Base de datos '!$K$6,'[1]Base de datos '!D75,IF($A$3='[1]Base de datos '!$K$7,'[1]Base de datos '!E75,IF($A$3='[1]Base de datos '!$K$8,'[1]Base de datos '!F75,IF($A$3='[1]Base de datos '!$K$9,'[1]Base de datos '!G75)))))</f>
        <v>618</v>
      </c>
      <c r="B77" s="17" t="str">
        <f t="shared" si="2"/>
        <v>MEDIO</v>
      </c>
      <c r="C77" s="18" t="s">
        <v>18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</row>
    <row r="78" spans="1:21" ht="15.75" customHeight="1" x14ac:dyDescent="0.25">
      <c r="A78" s="16">
        <f>IF($A$3='[1]Base de datos '!$K$5,'[1]Base de datos '!C76,IF($A$3='[1]Base de datos '!$K$6,'[1]Base de datos '!D76,IF($A$3='[1]Base de datos '!$K$7,'[1]Base de datos '!E76,IF($A$3='[1]Base de datos '!$K$8,'[1]Base de datos '!F76,IF($A$3='[1]Base de datos '!$K$9,'[1]Base de datos '!G76)))))</f>
        <v>646</v>
      </c>
      <c r="B78" s="17" t="str">
        <f t="shared" si="2"/>
        <v>ALTO</v>
      </c>
      <c r="C78" s="18" t="s">
        <v>17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</row>
    <row r="79" spans="1:21" ht="15.75" customHeight="1" x14ac:dyDescent="0.25">
      <c r="A79" s="16">
        <f>IF($A$3='[1]Base de datos '!$K$5,'[1]Base de datos '!C77,IF($A$3='[1]Base de datos '!$K$6,'[1]Base de datos '!D77,IF($A$3='[1]Base de datos '!$K$7,'[1]Base de datos '!E77,IF($A$3='[1]Base de datos '!$K$8,'[1]Base de datos '!F77,IF($A$3='[1]Base de datos '!$K$9,'[1]Base de datos '!G77)))))</f>
        <v>773</v>
      </c>
      <c r="B79" s="17" t="str">
        <f t="shared" si="2"/>
        <v>ALTO</v>
      </c>
      <c r="C79" s="18" t="s">
        <v>14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</row>
    <row r="80" spans="1:21" ht="15.75" customHeight="1" x14ac:dyDescent="0.25">
      <c r="A80" s="16">
        <f>IF($A$3='[1]Base de datos '!$K$5,'[1]Base de datos '!C78,IF($A$3='[1]Base de datos '!$K$6,'[1]Base de datos '!D78,IF($A$3='[1]Base de datos '!$K$7,'[1]Base de datos '!E78,IF($A$3='[1]Base de datos '!$K$8,'[1]Base de datos '!F78,IF($A$3='[1]Base de datos '!$K$9,'[1]Base de datos '!G78)))))</f>
        <v>559</v>
      </c>
      <c r="B80" s="17" t="str">
        <f t="shared" si="2"/>
        <v>MEDIO</v>
      </c>
      <c r="C80" s="18" t="s">
        <v>6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</row>
    <row r="81" spans="1:21" ht="15.75" customHeight="1" x14ac:dyDescent="0.25">
      <c r="A81" s="16">
        <f>IF($A$3='[1]Base de datos '!$K$5,'[1]Base de datos '!C79,IF($A$3='[1]Base de datos '!$K$6,'[1]Base de datos '!D79,IF($A$3='[1]Base de datos '!$K$7,'[1]Base de datos '!E79,IF($A$3='[1]Base de datos '!$K$8,'[1]Base de datos '!F79,IF($A$3='[1]Base de datos '!$K$9,'[1]Base de datos '!G79)))))</f>
        <v>654</v>
      </c>
      <c r="B81" s="17" t="str">
        <f t="shared" si="2"/>
        <v>ALTO</v>
      </c>
      <c r="C81" s="18" t="s">
        <v>8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</row>
    <row r="82" spans="1:21" ht="15.75" customHeight="1" x14ac:dyDescent="0.25">
      <c r="A82" s="16">
        <f>IF($A$3='[1]Base de datos '!$K$5,'[1]Base de datos '!C80,IF($A$3='[1]Base de datos '!$K$6,'[1]Base de datos '!D80,IF($A$3='[1]Base de datos '!$K$7,'[1]Base de datos '!E80,IF($A$3='[1]Base de datos '!$K$8,'[1]Base de datos '!F80,IF($A$3='[1]Base de datos '!$K$9,'[1]Base de datos '!G80)))))</f>
        <v>553</v>
      </c>
      <c r="B82" s="17" t="str">
        <f t="shared" si="2"/>
        <v>MEDIO</v>
      </c>
      <c r="C82" s="18" t="s">
        <v>14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</row>
    <row r="83" spans="1:21" ht="15.75" customHeight="1" x14ac:dyDescent="0.25">
      <c r="A83" s="16">
        <f>IF($A$3='[1]Base de datos '!$K$5,'[1]Base de datos '!C81,IF($A$3='[1]Base de datos '!$K$6,'[1]Base de datos '!D81,IF($A$3='[1]Base de datos '!$K$7,'[1]Base de datos '!E81,IF($A$3='[1]Base de datos '!$K$8,'[1]Base de datos '!F81,IF($A$3='[1]Base de datos '!$K$9,'[1]Base de datos '!G81)))))</f>
        <v>704</v>
      </c>
      <c r="B83" s="17" t="str">
        <f t="shared" si="2"/>
        <v>ALTO</v>
      </c>
      <c r="C83" s="18" t="s">
        <v>14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</row>
    <row r="84" spans="1:21" ht="15.75" customHeight="1" x14ac:dyDescent="0.25">
      <c r="A84" s="16">
        <f>IF($A$3='[1]Base de datos '!$K$5,'[1]Base de datos '!C82,IF($A$3='[1]Base de datos '!$K$6,'[1]Base de datos '!D82,IF($A$3='[1]Base de datos '!$K$7,'[1]Base de datos '!E82,IF($A$3='[1]Base de datos '!$K$8,'[1]Base de datos '!F82,IF($A$3='[1]Base de datos '!$K$9,'[1]Base de datos '!G82)))))</f>
        <v>572</v>
      </c>
      <c r="B84" s="17" t="str">
        <f t="shared" si="2"/>
        <v>MEDIO</v>
      </c>
      <c r="C84" s="18" t="s">
        <v>11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</row>
    <row r="85" spans="1:21" ht="15.75" customHeight="1" x14ac:dyDescent="0.25">
      <c r="A85" s="16">
        <f>IF($A$3='[1]Base de datos '!$K$5,'[1]Base de datos '!C83,IF($A$3='[1]Base de datos '!$K$6,'[1]Base de datos '!D83,IF($A$3='[1]Base de datos '!$K$7,'[1]Base de datos '!E83,IF($A$3='[1]Base de datos '!$K$8,'[1]Base de datos '!F83,IF($A$3='[1]Base de datos '!$K$9,'[1]Base de datos '!G83)))))</f>
        <v>781</v>
      </c>
      <c r="B85" s="17" t="str">
        <f t="shared" si="2"/>
        <v>ALTO</v>
      </c>
      <c r="C85" s="18" t="s">
        <v>19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</row>
    <row r="86" spans="1:21" ht="15.75" customHeight="1" x14ac:dyDescent="0.25">
      <c r="A86" s="16">
        <f>IF($A$3='[1]Base de datos '!$K$5,'[1]Base de datos '!C84,IF($A$3='[1]Base de datos '!$K$6,'[1]Base de datos '!D84,IF($A$3='[1]Base de datos '!$K$7,'[1]Base de datos '!E84,IF($A$3='[1]Base de datos '!$K$8,'[1]Base de datos '!F84,IF($A$3='[1]Base de datos '!$K$9,'[1]Base de datos '!G84)))))</f>
        <v>879</v>
      </c>
      <c r="B86" s="17" t="str">
        <f t="shared" si="2"/>
        <v>ALTO</v>
      </c>
      <c r="C86" s="18" t="s">
        <v>6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</row>
    <row r="87" spans="1:21" ht="15.75" customHeight="1" x14ac:dyDescent="0.25">
      <c r="A87" s="16">
        <f>IF($A$3='[1]Base de datos '!$K$5,'[1]Base de datos '!C85,IF($A$3='[1]Base de datos '!$K$6,'[1]Base de datos '!D85,IF($A$3='[1]Base de datos '!$K$7,'[1]Base de datos '!E85,IF($A$3='[1]Base de datos '!$K$8,'[1]Base de datos '!F85,IF($A$3='[1]Base de datos '!$K$9,'[1]Base de datos '!G85)))))</f>
        <v>253</v>
      </c>
      <c r="B87" s="17" t="str">
        <f t="shared" si="2"/>
        <v>BAJO</v>
      </c>
      <c r="C87" s="18" t="s">
        <v>8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</row>
    <row r="88" spans="1:21" ht="15.75" customHeight="1" x14ac:dyDescent="0.25">
      <c r="A88" s="16">
        <f>IF($A$3='[1]Base de datos '!$K$5,'[1]Base de datos '!C86,IF($A$3='[1]Base de datos '!$K$6,'[1]Base de datos '!D86,IF($A$3='[1]Base de datos '!$K$7,'[1]Base de datos '!E86,IF($A$3='[1]Base de datos '!$K$8,'[1]Base de datos '!F86,IF($A$3='[1]Base de datos '!$K$9,'[1]Base de datos '!G86)))))</f>
        <v>952</v>
      </c>
      <c r="B88" s="17" t="str">
        <f t="shared" si="2"/>
        <v>ALTO</v>
      </c>
      <c r="C88" s="18" t="s">
        <v>11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</row>
    <row r="89" spans="1:21" ht="15.75" customHeight="1" x14ac:dyDescent="0.25">
      <c r="A89" s="16">
        <f>IF($A$3='[1]Base de datos '!$K$5,'[1]Base de datos '!C87,IF($A$3='[1]Base de datos '!$K$6,'[1]Base de datos '!D87,IF($A$3='[1]Base de datos '!$K$7,'[1]Base de datos '!E87,IF($A$3='[1]Base de datos '!$K$8,'[1]Base de datos '!F87,IF($A$3='[1]Base de datos '!$K$9,'[1]Base de datos '!G87)))))</f>
        <v>898</v>
      </c>
      <c r="B89" s="17" t="str">
        <f t="shared" si="2"/>
        <v>ALTO</v>
      </c>
      <c r="C89" s="18" t="s">
        <v>8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</row>
    <row r="90" spans="1:21" ht="15.75" customHeight="1" x14ac:dyDescent="0.25">
      <c r="A90" s="16">
        <f>IF($A$3='[1]Base de datos '!$K$5,'[1]Base de datos '!C88,IF($A$3='[1]Base de datos '!$K$6,'[1]Base de datos '!D88,IF($A$3='[1]Base de datos '!$K$7,'[1]Base de datos '!E88,IF($A$3='[1]Base de datos '!$K$8,'[1]Base de datos '!F88,IF($A$3='[1]Base de datos '!$K$9,'[1]Base de datos '!G88)))))</f>
        <v>407</v>
      </c>
      <c r="B90" s="17" t="str">
        <f t="shared" si="2"/>
        <v>MEDIO</v>
      </c>
      <c r="C90" s="18" t="s">
        <v>11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</row>
    <row r="91" spans="1:21" ht="15.75" customHeight="1" x14ac:dyDescent="0.25">
      <c r="A91" s="16">
        <f>IF($A$3='[1]Base de datos '!$K$5,'[1]Base de datos '!C89,IF($A$3='[1]Base de datos '!$K$6,'[1]Base de datos '!D89,IF($A$3='[1]Base de datos '!$K$7,'[1]Base de datos '!E89,IF($A$3='[1]Base de datos '!$K$8,'[1]Base de datos '!F89,IF($A$3='[1]Base de datos '!$K$9,'[1]Base de datos '!G89)))))</f>
        <v>1201</v>
      </c>
      <c r="B91" s="17" t="str">
        <f t="shared" si="2"/>
        <v>ALTO</v>
      </c>
      <c r="C91" s="18" t="s">
        <v>8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</row>
    <row r="92" spans="1:21" ht="15.75" customHeight="1" x14ac:dyDescent="0.25">
      <c r="A92" s="16">
        <f>IF($A$3='[1]Base de datos '!$K$5,'[1]Base de datos '!C90,IF($A$3='[1]Base de datos '!$K$6,'[1]Base de datos '!D90,IF($A$3='[1]Base de datos '!$K$7,'[1]Base de datos '!E90,IF($A$3='[1]Base de datos '!$K$8,'[1]Base de datos '!F90,IF($A$3='[1]Base de datos '!$K$9,'[1]Base de datos '!G90)))))</f>
        <v>660</v>
      </c>
      <c r="B92" s="17" t="str">
        <f t="shared" si="2"/>
        <v>ALTO</v>
      </c>
      <c r="C92" s="18" t="s">
        <v>6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</row>
    <row r="93" spans="1:21" ht="15.75" customHeight="1" x14ac:dyDescent="0.25">
      <c r="A93" s="16">
        <f>IF($A$3='[1]Base de datos '!$K$5,'[1]Base de datos '!C91,IF($A$3='[1]Base de datos '!$K$6,'[1]Base de datos '!D91,IF($A$3='[1]Base de datos '!$K$7,'[1]Base de datos '!E91,IF($A$3='[1]Base de datos '!$K$8,'[1]Base de datos '!F91,IF($A$3='[1]Base de datos '!$K$9,'[1]Base de datos '!G91)))))</f>
        <v>733</v>
      </c>
      <c r="B93" s="17" t="str">
        <f t="shared" si="2"/>
        <v>ALTO</v>
      </c>
      <c r="C93" s="18" t="s">
        <v>17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</row>
    <row r="94" spans="1:21" ht="15.75" customHeight="1" x14ac:dyDescent="0.25">
      <c r="A94" s="16">
        <f>IF($A$3='[1]Base de datos '!$K$5,'[1]Base de datos '!C92,IF($A$3='[1]Base de datos '!$K$6,'[1]Base de datos '!D92,IF($A$3='[1]Base de datos '!$K$7,'[1]Base de datos '!E92,IF($A$3='[1]Base de datos '!$K$8,'[1]Base de datos '!F92,IF($A$3='[1]Base de datos '!$K$9,'[1]Base de datos '!G92)))))</f>
        <v>1028</v>
      </c>
      <c r="B94" s="17" t="str">
        <f t="shared" si="2"/>
        <v>ALTO</v>
      </c>
      <c r="C94" s="18" t="s">
        <v>6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</row>
    <row r="95" spans="1:21" ht="15" customHeight="1" x14ac:dyDescent="0.25">
      <c r="A95" s="16">
        <f>IF($A$3='[1]Base de datos '!$K$5,'[1]Base de datos '!C93,IF($A$3='[1]Base de datos '!$K$6,'[1]Base de datos '!D93,IF($A$3='[1]Base de datos '!$K$7,'[1]Base de datos '!E93,IF($A$3='[1]Base de datos '!$K$8,'[1]Base de datos '!F93,IF($A$3='[1]Base de datos '!$K$9,'[1]Base de datos '!G93)))))</f>
        <v>444</v>
      </c>
      <c r="B95" s="17" t="str">
        <f t="shared" si="2"/>
        <v>MEDIO</v>
      </c>
      <c r="C95" s="18" t="s">
        <v>17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</row>
    <row r="96" spans="1:21" ht="15" customHeight="1" x14ac:dyDescent="0.25">
      <c r="A96" s="16">
        <f>IF($A$3='[1]Base de datos '!$K$5,'[1]Base de datos '!C94,IF($A$3='[1]Base de datos '!$K$6,'[1]Base de datos '!D94,IF($A$3='[1]Base de datos '!$K$7,'[1]Base de datos '!E94,IF($A$3='[1]Base de datos '!$K$8,'[1]Base de datos '!F94,IF($A$3='[1]Base de datos '!$K$9,'[1]Base de datos '!G94)))))</f>
        <v>324</v>
      </c>
      <c r="B96" s="17" t="str">
        <f t="shared" si="2"/>
        <v>MEDIO</v>
      </c>
      <c r="C96" s="18" t="s">
        <v>8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</row>
    <row r="97" spans="1:21" ht="15" customHeight="1" x14ac:dyDescent="0.25">
      <c r="A97" s="16">
        <f>IF($A$3='[1]Base de datos '!$K$5,'[1]Base de datos '!C95,IF($A$3='[1]Base de datos '!$K$6,'[1]Base de datos '!D95,IF($A$3='[1]Base de datos '!$K$7,'[1]Base de datos '!E95,IF($A$3='[1]Base de datos '!$K$8,'[1]Base de datos '!F95,IF($A$3='[1]Base de datos '!$K$9,'[1]Base de datos '!G95)))))</f>
        <v>519</v>
      </c>
      <c r="B97" s="17" t="str">
        <f t="shared" si="2"/>
        <v>MEDIO</v>
      </c>
      <c r="C97" s="18" t="s">
        <v>8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</row>
    <row r="98" spans="1:21" ht="15.75" customHeight="1" x14ac:dyDescent="0.25">
      <c r="A98" s="16">
        <f>IF($A$3='[1]Base de datos '!$K$5,'[1]Base de datos '!C96,IF($A$3='[1]Base de datos '!$K$6,'[1]Base de datos '!D96,IF($A$3='[1]Base de datos '!$K$7,'[1]Base de datos '!E96,IF($A$3='[1]Base de datos '!$K$8,'[1]Base de datos '!F96,IF($A$3='[1]Base de datos '!$K$9,'[1]Base de datos '!G96)))))</f>
        <v>645</v>
      </c>
      <c r="B98" s="17" t="str">
        <f t="shared" si="2"/>
        <v>ALTO</v>
      </c>
      <c r="C98" s="18" t="s">
        <v>14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</row>
    <row r="99" spans="1:21" ht="15.75" customHeight="1" x14ac:dyDescent="0.25">
      <c r="A99" s="16">
        <f>IF($A$3='[1]Base de datos '!$K$5,'[1]Base de datos '!C97,IF($A$3='[1]Base de datos '!$K$6,'[1]Base de datos '!D97,IF($A$3='[1]Base de datos '!$K$7,'[1]Base de datos '!E97,IF($A$3='[1]Base de datos '!$K$8,'[1]Base de datos '!F97,IF($A$3='[1]Base de datos '!$K$9,'[1]Base de datos '!G97)))))</f>
        <v>700</v>
      </c>
      <c r="B99" s="17" t="str">
        <f t="shared" si="2"/>
        <v>ALTO</v>
      </c>
      <c r="C99" s="18" t="s">
        <v>19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</row>
    <row r="100" spans="1:21" ht="15.75" customHeight="1" x14ac:dyDescent="0.25">
      <c r="A100" s="16">
        <f>IF($A$3='[1]Base de datos '!$K$5,'[1]Base de datos '!C98,IF($A$3='[1]Base de datos '!$K$6,'[1]Base de datos '!D98,IF($A$3='[1]Base de datos '!$K$7,'[1]Base de datos '!E98,IF($A$3='[1]Base de datos '!$K$8,'[1]Base de datos '!F98,IF($A$3='[1]Base de datos '!$K$9,'[1]Base de datos '!G98)))))</f>
        <v>777</v>
      </c>
      <c r="B100" s="17" t="str">
        <f t="shared" si="2"/>
        <v>ALTO</v>
      </c>
      <c r="C100" s="18" t="s">
        <v>8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</row>
    <row r="101" spans="1:21" ht="15.75" customHeight="1" x14ac:dyDescent="0.25">
      <c r="A101" s="16">
        <f>IF($A$3='[1]Base de datos '!$K$5,'[1]Base de datos '!C99,IF($A$3='[1]Base de datos '!$K$6,'[1]Base de datos '!D99,IF($A$3='[1]Base de datos '!$K$7,'[1]Base de datos '!E99,IF($A$3='[1]Base de datos '!$K$8,'[1]Base de datos '!F99,IF($A$3='[1]Base de datos '!$K$9,'[1]Base de datos '!G99)))))</f>
        <v>1026</v>
      </c>
      <c r="B101" s="17" t="str">
        <f t="shared" si="2"/>
        <v>ALTO</v>
      </c>
      <c r="C101" s="18" t="s">
        <v>18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</row>
    <row r="102" spans="1:21" ht="15.75" customHeight="1" x14ac:dyDescent="0.25">
      <c r="A102" s="16">
        <f>IF($A$3='[1]Base de datos '!$K$5,'[1]Base de datos '!C100,IF($A$3='[1]Base de datos '!$K$6,'[1]Base de datos '!D100,IF($A$3='[1]Base de datos '!$K$7,'[1]Base de datos '!E100,IF($A$3='[1]Base de datos '!$K$8,'[1]Base de datos '!F100,IF($A$3='[1]Base de datos '!$K$9,'[1]Base de datos '!G100)))))</f>
        <v>407</v>
      </c>
      <c r="B102" s="17" t="str">
        <f t="shared" si="2"/>
        <v>MEDIO</v>
      </c>
      <c r="C102" s="18" t="s">
        <v>6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</row>
    <row r="103" spans="1:21" ht="15.75" customHeight="1" x14ac:dyDescent="0.25">
      <c r="A103" s="16">
        <f>IF($A$3='[1]Base de datos '!$K$5,'[1]Base de datos '!C101,IF($A$3='[1]Base de datos '!$K$6,'[1]Base de datos '!D101,IF($A$3='[1]Base de datos '!$K$7,'[1]Base de datos '!E101,IF($A$3='[1]Base de datos '!$K$8,'[1]Base de datos '!F101,IF($A$3='[1]Base de datos '!$K$9,'[1]Base de datos '!G101)))))</f>
        <v>298</v>
      </c>
      <c r="B103" s="17" t="str">
        <f t="shared" si="2"/>
        <v>BAJO</v>
      </c>
      <c r="C103" s="18" t="s">
        <v>17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</row>
    <row r="104" spans="1:21" ht="15.75" customHeight="1" x14ac:dyDescent="0.25">
      <c r="A104" s="16">
        <f>IF($A$3='[1]Base de datos '!$K$5,'[1]Base de datos '!C102,IF($A$3='[1]Base de datos '!$K$6,'[1]Base de datos '!D102,IF($A$3='[1]Base de datos '!$K$7,'[1]Base de datos '!E102,IF($A$3='[1]Base de datos '!$K$8,'[1]Base de datos '!F102,IF($A$3='[1]Base de datos '!$K$9,'[1]Base de datos '!G102)))))</f>
        <v>680</v>
      </c>
      <c r="B104" s="17" t="str">
        <f t="shared" si="2"/>
        <v>ALTO</v>
      </c>
      <c r="C104" s="18" t="s">
        <v>17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</row>
    <row r="105" spans="1:21" ht="15.75" customHeight="1" x14ac:dyDescent="0.25">
      <c r="A105" s="16">
        <f>IF($A$3='[1]Base de datos '!$K$5,'[1]Base de datos '!C103,IF($A$3='[1]Base de datos '!$K$6,'[1]Base de datos '!D103,IF($A$3='[1]Base de datos '!$K$7,'[1]Base de datos '!E103,IF($A$3='[1]Base de datos '!$K$8,'[1]Base de datos '!F103,IF($A$3='[1]Base de datos '!$K$9,'[1]Base de datos '!G103)))))</f>
        <v>594</v>
      </c>
      <c r="B105" s="17" t="str">
        <f t="shared" si="2"/>
        <v>MEDIO</v>
      </c>
      <c r="C105" s="18" t="s">
        <v>14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</row>
    <row r="106" spans="1:21" ht="15.75" customHeight="1" x14ac:dyDescent="0.25">
      <c r="A106" s="16">
        <f>IF($A$3='[1]Base de datos '!$K$5,'[1]Base de datos '!C104,IF($A$3='[1]Base de datos '!$K$6,'[1]Base de datos '!D104,IF($A$3='[1]Base de datos '!$K$7,'[1]Base de datos '!E104,IF($A$3='[1]Base de datos '!$K$8,'[1]Base de datos '!F104,IF($A$3='[1]Base de datos '!$K$9,'[1]Base de datos '!G104)))))</f>
        <v>583</v>
      </c>
      <c r="B106" s="17" t="str">
        <f t="shared" si="2"/>
        <v>MEDIO</v>
      </c>
      <c r="C106" s="18" t="s">
        <v>17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</row>
    <row r="107" spans="1:21" ht="15.75" customHeight="1" x14ac:dyDescent="0.25">
      <c r="A107" s="16">
        <f>IF($A$3='[1]Base de datos '!$K$5,'[1]Base de datos '!C105,IF($A$3='[1]Base de datos '!$K$6,'[1]Base de datos '!D105,IF($A$3='[1]Base de datos '!$K$7,'[1]Base de datos '!E105,IF($A$3='[1]Base de datos '!$K$8,'[1]Base de datos '!F105,IF($A$3='[1]Base de datos '!$K$9,'[1]Base de datos '!G105)))))</f>
        <v>259</v>
      </c>
      <c r="B107" s="17" t="str">
        <f t="shared" si="2"/>
        <v>BAJO</v>
      </c>
      <c r="C107" s="18" t="s">
        <v>18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</row>
    <row r="108" spans="1:21" ht="15.75" customHeight="1" x14ac:dyDescent="0.25">
      <c r="A108" s="16">
        <f>IF($A$3='[1]Base de datos '!$K$5,'[1]Base de datos '!C106,IF($A$3='[1]Base de datos '!$K$6,'[1]Base de datos '!D106,IF($A$3='[1]Base de datos '!$K$7,'[1]Base de datos '!E106,IF($A$3='[1]Base de datos '!$K$8,'[1]Base de datos '!F106,IF($A$3='[1]Base de datos '!$K$9,'[1]Base de datos '!G106)))))</f>
        <v>769</v>
      </c>
      <c r="B108" s="17" t="str">
        <f t="shared" si="2"/>
        <v>ALTO</v>
      </c>
      <c r="C108" s="18" t="s">
        <v>18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</row>
    <row r="109" spans="1:21" ht="15.75" customHeight="1" x14ac:dyDescent="0.25">
      <c r="A109" s="16">
        <f>IF($A$3='[1]Base de datos '!$K$5,'[1]Base de datos '!C107,IF($A$3='[1]Base de datos '!$K$6,'[1]Base de datos '!D107,IF($A$3='[1]Base de datos '!$K$7,'[1]Base de datos '!E107,IF($A$3='[1]Base de datos '!$K$8,'[1]Base de datos '!F107,IF($A$3='[1]Base de datos '!$K$9,'[1]Base de datos '!G107)))))</f>
        <v>764</v>
      </c>
      <c r="B109" s="17" t="str">
        <f t="shared" si="2"/>
        <v>ALTO</v>
      </c>
      <c r="C109" s="18" t="s">
        <v>19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</row>
    <row r="110" spans="1:21" ht="15.75" customHeight="1" x14ac:dyDescent="0.25">
      <c r="A110" s="16">
        <f>IF($A$3='[1]Base de datos '!$K$5,'[1]Base de datos '!C108,IF($A$3='[1]Base de datos '!$K$6,'[1]Base de datos '!D108,IF($A$3='[1]Base de datos '!$K$7,'[1]Base de datos '!E108,IF($A$3='[1]Base de datos '!$K$8,'[1]Base de datos '!F108,IF($A$3='[1]Base de datos '!$K$9,'[1]Base de datos '!G108)))))</f>
        <v>529</v>
      </c>
      <c r="B110" s="17" t="str">
        <f t="shared" si="2"/>
        <v>MEDIO</v>
      </c>
      <c r="C110" s="18" t="s">
        <v>18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 spans="1:21" ht="15.75" customHeight="1" x14ac:dyDescent="0.25">
      <c r="A111" s="16">
        <f>IF($A$3='[1]Base de datos '!$K$5,'[1]Base de datos '!C109,IF($A$3='[1]Base de datos '!$K$6,'[1]Base de datos '!D109,IF($A$3='[1]Base de datos '!$K$7,'[1]Base de datos '!E109,IF($A$3='[1]Base de datos '!$K$8,'[1]Base de datos '!F109,IF($A$3='[1]Base de datos '!$K$9,'[1]Base de datos '!G109)))))</f>
        <v>1280</v>
      </c>
      <c r="B111" s="17" t="str">
        <f t="shared" si="2"/>
        <v>ALTO</v>
      </c>
      <c r="C111" s="18" t="s">
        <v>19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</row>
    <row r="112" spans="1:21" ht="15.75" customHeight="1" x14ac:dyDescent="0.25">
      <c r="A112" s="16">
        <f>IF($A$3='[1]Base de datos '!$K$5,'[1]Base de datos '!C110,IF($A$3='[1]Base de datos '!$K$6,'[1]Base de datos '!D110,IF($A$3='[1]Base de datos '!$K$7,'[1]Base de datos '!E110,IF($A$3='[1]Base de datos '!$K$8,'[1]Base de datos '!F110,IF($A$3='[1]Base de datos '!$K$9,'[1]Base de datos '!G110)))))</f>
        <v>304</v>
      </c>
      <c r="B112" s="17" t="str">
        <f t="shared" si="2"/>
        <v>BAJO</v>
      </c>
      <c r="C112" s="18" t="s">
        <v>11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</row>
    <row r="113" spans="1:21" ht="15.75" customHeight="1" x14ac:dyDescent="0.25">
      <c r="A113" s="16">
        <f>IF($A$3='[1]Base de datos '!$K$5,'[1]Base de datos '!C111,IF($A$3='[1]Base de datos '!$K$6,'[1]Base de datos '!D111,IF($A$3='[1]Base de datos '!$K$7,'[1]Base de datos '!E111,IF($A$3='[1]Base de datos '!$K$8,'[1]Base de datos '!F111,IF($A$3='[1]Base de datos '!$K$9,'[1]Base de datos '!G111)))))</f>
        <v>856</v>
      </c>
      <c r="B113" s="17" t="str">
        <f t="shared" si="2"/>
        <v>ALTO</v>
      </c>
      <c r="C113" s="18" t="s">
        <v>14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</row>
    <row r="114" spans="1:21" ht="15.75" customHeight="1" x14ac:dyDescent="0.25">
      <c r="A114" s="16">
        <f>IF($A$3='[1]Base de datos '!$K$5,'[1]Base de datos '!C112,IF($A$3='[1]Base de datos '!$K$6,'[1]Base de datos '!D112,IF($A$3='[1]Base de datos '!$K$7,'[1]Base de datos '!E112,IF($A$3='[1]Base de datos '!$K$8,'[1]Base de datos '!F112,IF($A$3='[1]Base de datos '!$K$9,'[1]Base de datos '!G112)))))</f>
        <v>456</v>
      </c>
      <c r="B114" s="17" t="str">
        <f t="shared" si="2"/>
        <v>MEDIO</v>
      </c>
      <c r="C114" s="18" t="s">
        <v>14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</row>
    <row r="115" spans="1:21" ht="15.75" customHeight="1" x14ac:dyDescent="0.25">
      <c r="A115" s="16">
        <f>IF($A$3='[1]Base de datos '!$K$5,'[1]Base de datos '!C113,IF($A$3='[1]Base de datos '!$K$6,'[1]Base de datos '!D113,IF($A$3='[1]Base de datos '!$K$7,'[1]Base de datos '!E113,IF($A$3='[1]Base de datos '!$K$8,'[1]Base de datos '!F113,IF($A$3='[1]Base de datos '!$K$9,'[1]Base de datos '!G113)))))</f>
        <v>386</v>
      </c>
      <c r="B115" s="17" t="str">
        <f t="shared" si="2"/>
        <v>MEDIO</v>
      </c>
      <c r="C115" s="18" t="s">
        <v>18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</row>
    <row r="116" spans="1:21" ht="15.75" customHeight="1" x14ac:dyDescent="0.25">
      <c r="A116" s="16">
        <f>IF($A$3='[1]Base de datos '!$K$5,'[1]Base de datos '!C114,IF($A$3='[1]Base de datos '!$K$6,'[1]Base de datos '!D114,IF($A$3='[1]Base de datos '!$K$7,'[1]Base de datos '!E114,IF($A$3='[1]Base de datos '!$K$8,'[1]Base de datos '!F114,IF($A$3='[1]Base de datos '!$K$9,'[1]Base de datos '!G114)))))</f>
        <v>308</v>
      </c>
      <c r="B116" s="17" t="str">
        <f t="shared" si="2"/>
        <v>BAJO</v>
      </c>
      <c r="C116" s="18" t="s">
        <v>19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</row>
    <row r="117" spans="1:21" ht="15.75" customHeight="1" x14ac:dyDescent="0.25">
      <c r="A117" s="16">
        <f>IF($A$3='[1]Base de datos '!$K$5,'[1]Base de datos '!C115,IF($A$3='[1]Base de datos '!$K$6,'[1]Base de datos '!D115,IF($A$3='[1]Base de datos '!$K$7,'[1]Base de datos '!E115,IF($A$3='[1]Base de datos '!$K$8,'[1]Base de datos '!F115,IF($A$3='[1]Base de datos '!$K$9,'[1]Base de datos '!G115)))))</f>
        <v>858</v>
      </c>
      <c r="B117" s="17" t="str">
        <f t="shared" si="2"/>
        <v>ALTO</v>
      </c>
      <c r="C117" s="18" t="s">
        <v>17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1:21" ht="15.75" customHeight="1" x14ac:dyDescent="0.25">
      <c r="A118" s="16">
        <f>IF($A$3='[1]Base de datos '!$K$5,'[1]Base de datos '!C116,IF($A$3='[1]Base de datos '!$K$6,'[1]Base de datos '!D116,IF($A$3='[1]Base de datos '!$K$7,'[1]Base de datos '!E116,IF($A$3='[1]Base de datos '!$K$8,'[1]Base de datos '!F116,IF($A$3='[1]Base de datos '!$K$9,'[1]Base de datos '!G116)))))</f>
        <v>449</v>
      </c>
      <c r="B118" s="17" t="str">
        <f t="shared" si="2"/>
        <v>MEDIO</v>
      </c>
      <c r="C118" s="18" t="s">
        <v>8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</row>
    <row r="119" spans="1:21" ht="15.75" customHeight="1" x14ac:dyDescent="0.25">
      <c r="A119" s="16">
        <f>IF($A$3='[1]Base de datos '!$K$5,'[1]Base de datos '!C117,IF($A$3='[1]Base de datos '!$K$6,'[1]Base de datos '!D117,IF($A$3='[1]Base de datos '!$K$7,'[1]Base de datos '!E117,IF($A$3='[1]Base de datos '!$K$8,'[1]Base de datos '!F117,IF($A$3='[1]Base de datos '!$K$9,'[1]Base de datos '!G117)))))</f>
        <v>479</v>
      </c>
      <c r="B119" s="17" t="str">
        <f t="shared" si="2"/>
        <v>MEDIO</v>
      </c>
      <c r="C119" s="18" t="s">
        <v>19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</row>
    <row r="120" spans="1:21" ht="15.75" customHeight="1" x14ac:dyDescent="0.25">
      <c r="A120" s="16">
        <f>IF($A$3='[1]Base de datos '!$K$5,'[1]Base de datos '!C118,IF($A$3='[1]Base de datos '!$K$6,'[1]Base de datos '!D118,IF($A$3='[1]Base de datos '!$K$7,'[1]Base de datos '!E118,IF($A$3='[1]Base de datos '!$K$8,'[1]Base de datos '!F118,IF($A$3='[1]Base de datos '!$K$9,'[1]Base de datos '!G118)))))</f>
        <v>499</v>
      </c>
      <c r="B120" s="17" t="str">
        <f t="shared" si="2"/>
        <v>MEDIO</v>
      </c>
      <c r="C120" s="18" t="s">
        <v>19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</row>
    <row r="121" spans="1:21" ht="15.75" customHeight="1" x14ac:dyDescent="0.25">
      <c r="A121" s="16">
        <f>IF($A$3='[1]Base de datos '!$K$5,'[1]Base de datos '!C119,IF($A$3='[1]Base de datos '!$K$6,'[1]Base de datos '!D119,IF($A$3='[1]Base de datos '!$K$7,'[1]Base de datos '!E119,IF($A$3='[1]Base de datos '!$K$8,'[1]Base de datos '!F119,IF($A$3='[1]Base de datos '!$K$9,'[1]Base de datos '!G119)))))</f>
        <v>708</v>
      </c>
      <c r="B121" s="17" t="str">
        <f t="shared" si="2"/>
        <v>ALTO</v>
      </c>
      <c r="C121" s="18" t="s">
        <v>11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</row>
    <row r="122" spans="1:21" ht="15.75" customHeight="1" x14ac:dyDescent="0.25">
      <c r="A122" s="16">
        <f>IF($A$3='[1]Base de datos '!$K$5,'[1]Base de datos '!C120,IF($A$3='[1]Base de datos '!$K$6,'[1]Base de datos '!D120,IF($A$3='[1]Base de datos '!$K$7,'[1]Base de datos '!E120,IF($A$3='[1]Base de datos '!$K$8,'[1]Base de datos '!F120,IF($A$3='[1]Base de datos '!$K$9,'[1]Base de datos '!G120)))))</f>
        <v>895</v>
      </c>
      <c r="B122" s="17" t="str">
        <f t="shared" si="2"/>
        <v>ALTO</v>
      </c>
      <c r="C122" s="18" t="s">
        <v>14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</row>
    <row r="123" spans="1:21" ht="15.75" customHeight="1" x14ac:dyDescent="0.25">
      <c r="A123" s="16">
        <f>IF($A$3='[1]Base de datos '!$K$5,'[1]Base de datos '!C121,IF($A$3='[1]Base de datos '!$K$6,'[1]Base de datos '!D121,IF($A$3='[1]Base de datos '!$K$7,'[1]Base de datos '!E121,IF($A$3='[1]Base de datos '!$K$8,'[1]Base de datos '!F121,IF($A$3='[1]Base de datos '!$K$9,'[1]Base de datos '!G121)))))</f>
        <v>690</v>
      </c>
      <c r="B123" s="17" t="str">
        <f t="shared" si="2"/>
        <v>ALTO</v>
      </c>
      <c r="C123" s="18" t="s">
        <v>17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</row>
    <row r="124" spans="1:21" ht="15.75" customHeight="1" x14ac:dyDescent="0.25">
      <c r="A124" s="16">
        <f>IF($A$3='[1]Base de datos '!$K$5,'[1]Base de datos '!C122,IF($A$3='[1]Base de datos '!$K$6,'[1]Base de datos '!D122,IF($A$3='[1]Base de datos '!$K$7,'[1]Base de datos '!E122,IF($A$3='[1]Base de datos '!$K$8,'[1]Base de datos '!F122,IF($A$3='[1]Base de datos '!$K$9,'[1]Base de datos '!G122)))))</f>
        <v>922</v>
      </c>
      <c r="B124" s="17" t="str">
        <f t="shared" si="2"/>
        <v>ALTO</v>
      </c>
      <c r="C124" s="18" t="s">
        <v>6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</row>
    <row r="125" spans="1:21" ht="15.75" customHeight="1" x14ac:dyDescent="0.25">
      <c r="A125" s="16">
        <f>IF($A$3='[1]Base de datos '!$K$5,'[1]Base de datos '!C123,IF($A$3='[1]Base de datos '!$K$6,'[1]Base de datos '!D123,IF($A$3='[1]Base de datos '!$K$7,'[1]Base de datos '!E123,IF($A$3='[1]Base de datos '!$K$8,'[1]Base de datos '!F123,IF($A$3='[1]Base de datos '!$K$9,'[1]Base de datos '!G123)))))</f>
        <v>948</v>
      </c>
      <c r="B125" s="17" t="str">
        <f t="shared" si="2"/>
        <v>ALTO</v>
      </c>
      <c r="C125" s="18" t="s">
        <v>11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</row>
    <row r="126" spans="1:21" ht="15.75" customHeight="1" x14ac:dyDescent="0.25">
      <c r="A126" s="16">
        <f>IF($A$3='[1]Base de datos '!$K$5,'[1]Base de datos '!C124,IF($A$3='[1]Base de datos '!$K$6,'[1]Base de datos '!D124,IF($A$3='[1]Base de datos '!$K$7,'[1]Base de datos '!E124,IF($A$3='[1]Base de datos '!$K$8,'[1]Base de datos '!F124,IF($A$3='[1]Base de datos '!$K$9,'[1]Base de datos '!G124)))))</f>
        <v>504</v>
      </c>
      <c r="B126" s="17" t="str">
        <f t="shared" si="2"/>
        <v>MEDIO</v>
      </c>
      <c r="C126" s="18" t="s">
        <v>19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1:21" ht="15.75" customHeight="1" x14ac:dyDescent="0.25">
      <c r="A127" s="16">
        <f>IF($A$3='[1]Base de datos '!$K$5,'[1]Base de datos '!C125,IF($A$3='[1]Base de datos '!$K$6,'[1]Base de datos '!D125,IF($A$3='[1]Base de datos '!$K$7,'[1]Base de datos '!E125,IF($A$3='[1]Base de datos '!$K$8,'[1]Base de datos '!F125,IF($A$3='[1]Base de datos '!$K$9,'[1]Base de datos '!G125)))))</f>
        <v>694</v>
      </c>
      <c r="B127" s="17" t="str">
        <f t="shared" si="2"/>
        <v>ALTO</v>
      </c>
      <c r="C127" s="18" t="s">
        <v>11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</row>
    <row r="128" spans="1:21" ht="15.75" customHeight="1" x14ac:dyDescent="0.25">
      <c r="A128" s="16">
        <f>IF($A$3='[1]Base de datos '!$K$5,'[1]Base de datos '!C126,IF($A$3='[1]Base de datos '!$K$6,'[1]Base de datos '!D126,IF($A$3='[1]Base de datos '!$K$7,'[1]Base de datos '!E126,IF($A$3='[1]Base de datos '!$K$8,'[1]Base de datos '!F126,IF($A$3='[1]Base de datos '!$K$9,'[1]Base de datos '!G126)))))</f>
        <v>836</v>
      </c>
      <c r="B128" s="17" t="str">
        <f t="shared" si="2"/>
        <v>ALTO</v>
      </c>
      <c r="C128" s="18" t="s">
        <v>18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</row>
    <row r="129" spans="1:21" ht="15.75" customHeight="1" x14ac:dyDescent="0.25">
      <c r="A129" s="16">
        <f>IF($A$3='[1]Base de datos '!$K$5,'[1]Base de datos '!C127,IF($A$3='[1]Base de datos '!$K$6,'[1]Base de datos '!D127,IF($A$3='[1]Base de datos '!$K$7,'[1]Base de datos '!E127,IF($A$3='[1]Base de datos '!$K$8,'[1]Base de datos '!F127,IF($A$3='[1]Base de datos '!$K$9,'[1]Base de datos '!G127)))))</f>
        <v>801</v>
      </c>
      <c r="B129" s="17" t="str">
        <f t="shared" si="2"/>
        <v>ALTO</v>
      </c>
      <c r="C129" s="18" t="s">
        <v>19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</row>
    <row r="130" spans="1:21" ht="15.75" customHeight="1" x14ac:dyDescent="0.25">
      <c r="A130" s="16">
        <f>IF($A$3='[1]Base de datos '!$K$5,'[1]Base de datos '!C128,IF($A$3='[1]Base de datos '!$K$6,'[1]Base de datos '!D128,IF($A$3='[1]Base de datos '!$K$7,'[1]Base de datos '!E128,IF($A$3='[1]Base de datos '!$K$8,'[1]Base de datos '!F128,IF($A$3='[1]Base de datos '!$K$9,'[1]Base de datos '!G128)))))</f>
        <v>645</v>
      </c>
      <c r="B130" s="17" t="str">
        <f t="shared" si="2"/>
        <v>ALTO</v>
      </c>
      <c r="C130" s="18" t="s">
        <v>14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</row>
    <row r="131" spans="1:21" ht="15.75" customHeight="1" x14ac:dyDescent="0.25">
      <c r="A131" s="16">
        <f>IF($A$3='[1]Base de datos '!$K$5,'[1]Base de datos '!C129,IF($A$3='[1]Base de datos '!$K$6,'[1]Base de datos '!D129,IF($A$3='[1]Base de datos '!$K$7,'[1]Base de datos '!E129,IF($A$3='[1]Base de datos '!$K$8,'[1]Base de datos '!F129,IF($A$3='[1]Base de datos '!$K$9,'[1]Base de datos '!G129)))))</f>
        <v>1010</v>
      </c>
      <c r="B131" s="17" t="str">
        <f t="shared" si="2"/>
        <v>ALTO</v>
      </c>
      <c r="C131" s="18" t="s">
        <v>14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</row>
    <row r="132" spans="1:21" ht="15.75" customHeight="1" x14ac:dyDescent="0.25">
      <c r="A132" s="16">
        <f>IF($A$3='[1]Base de datos '!$K$5,'[1]Base de datos '!C130,IF($A$3='[1]Base de datos '!$K$6,'[1]Base de datos '!D130,IF($A$3='[1]Base de datos '!$K$7,'[1]Base de datos '!E130,IF($A$3='[1]Base de datos '!$K$8,'[1]Base de datos '!F130,IF($A$3='[1]Base de datos '!$K$9,'[1]Base de datos '!G130)))))</f>
        <v>560</v>
      </c>
      <c r="B132" s="17" t="str">
        <f t="shared" si="2"/>
        <v>MEDIO</v>
      </c>
      <c r="C132" s="18" t="s">
        <v>19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</row>
    <row r="133" spans="1:21" ht="15.75" customHeight="1" x14ac:dyDescent="0.25">
      <c r="A133" s="16">
        <f>IF($A$3='[1]Base de datos '!$K$5,'[1]Base de datos '!C131,IF($A$3='[1]Base de datos '!$K$6,'[1]Base de datos '!D131,IF($A$3='[1]Base de datos '!$K$7,'[1]Base de datos '!E131,IF($A$3='[1]Base de datos '!$K$8,'[1]Base de datos '!F131,IF($A$3='[1]Base de datos '!$K$9,'[1]Base de datos '!G131)))))</f>
        <v>566</v>
      </c>
      <c r="B133" s="17" t="str">
        <f t="shared" si="2"/>
        <v>MEDIO</v>
      </c>
      <c r="C133" s="18" t="s">
        <v>6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</row>
    <row r="134" spans="1:21" ht="15.75" customHeight="1" x14ac:dyDescent="0.25">
      <c r="A134" s="16">
        <f>IF($A$3='[1]Base de datos '!$K$5,'[1]Base de datos '!C132,IF($A$3='[1]Base de datos '!$K$6,'[1]Base de datos '!D132,IF($A$3='[1]Base de datos '!$K$7,'[1]Base de datos '!E132,IF($A$3='[1]Base de datos '!$K$8,'[1]Base de datos '!F132,IF($A$3='[1]Base de datos '!$K$9,'[1]Base de datos '!G132)))))</f>
        <v>711</v>
      </c>
      <c r="B134" s="17" t="str">
        <f t="shared" ref="B134:B197" si="3">IF(A134&lt;=$I$5,"BAJO",IF(A134&lt;=$I$6,"MEDIO","ALTO"))</f>
        <v>ALTO</v>
      </c>
      <c r="C134" s="18" t="s">
        <v>6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</row>
    <row r="135" spans="1:21" ht="15.75" customHeight="1" x14ac:dyDescent="0.25">
      <c r="A135" s="16">
        <f>IF($A$3='[1]Base de datos '!$K$5,'[1]Base de datos '!C133,IF($A$3='[1]Base de datos '!$K$6,'[1]Base de datos '!D133,IF($A$3='[1]Base de datos '!$K$7,'[1]Base de datos '!E133,IF($A$3='[1]Base de datos '!$K$8,'[1]Base de datos '!F133,IF($A$3='[1]Base de datos '!$K$9,'[1]Base de datos '!G133)))))</f>
        <v>580</v>
      </c>
      <c r="B135" s="17" t="str">
        <f t="shared" si="3"/>
        <v>MEDIO</v>
      </c>
      <c r="C135" s="18" t="s">
        <v>19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</row>
    <row r="136" spans="1:21" ht="15.75" customHeight="1" x14ac:dyDescent="0.25">
      <c r="A136" s="16">
        <f>IF($A$3='[1]Base de datos '!$K$5,'[1]Base de datos '!C134,IF($A$3='[1]Base de datos '!$K$6,'[1]Base de datos '!D134,IF($A$3='[1]Base de datos '!$K$7,'[1]Base de datos '!E134,IF($A$3='[1]Base de datos '!$K$8,'[1]Base de datos '!F134,IF($A$3='[1]Base de datos '!$K$9,'[1]Base de datos '!G134)))))</f>
        <v>372</v>
      </c>
      <c r="B136" s="17" t="str">
        <f t="shared" si="3"/>
        <v>MEDIO</v>
      </c>
      <c r="C136" s="18" t="s">
        <v>6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</row>
    <row r="137" spans="1:21" ht="15.75" customHeight="1" x14ac:dyDescent="0.25">
      <c r="A137" s="16">
        <f>IF($A$3='[1]Base de datos '!$K$5,'[1]Base de datos '!C135,IF($A$3='[1]Base de datos '!$K$6,'[1]Base de datos '!D135,IF($A$3='[1]Base de datos '!$K$7,'[1]Base de datos '!E135,IF($A$3='[1]Base de datos '!$K$8,'[1]Base de datos '!F135,IF($A$3='[1]Base de datos '!$K$9,'[1]Base de datos '!G135)))))</f>
        <v>896</v>
      </c>
      <c r="B137" s="17" t="str">
        <f t="shared" si="3"/>
        <v>ALTO</v>
      </c>
      <c r="C137" s="18" t="s">
        <v>6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</row>
    <row r="138" spans="1:21" ht="15.75" customHeight="1" x14ac:dyDescent="0.25">
      <c r="A138" s="16">
        <f>IF($A$3='[1]Base de datos '!$K$5,'[1]Base de datos '!C136,IF($A$3='[1]Base de datos '!$K$6,'[1]Base de datos '!D136,IF($A$3='[1]Base de datos '!$K$7,'[1]Base de datos '!E136,IF($A$3='[1]Base de datos '!$K$8,'[1]Base de datos '!F136,IF($A$3='[1]Base de datos '!$K$9,'[1]Base de datos '!G136)))))</f>
        <v>633</v>
      </c>
      <c r="B138" s="17" t="str">
        <f t="shared" si="3"/>
        <v>ALTO</v>
      </c>
      <c r="C138" s="18" t="s">
        <v>8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</row>
    <row r="139" spans="1:21" ht="15.75" customHeight="1" x14ac:dyDescent="0.25">
      <c r="A139" s="16">
        <f>IF($A$3='[1]Base de datos '!$K$5,'[1]Base de datos '!C137,IF($A$3='[1]Base de datos '!$K$6,'[1]Base de datos '!D137,IF($A$3='[1]Base de datos '!$K$7,'[1]Base de datos '!E137,IF($A$3='[1]Base de datos '!$K$8,'[1]Base de datos '!F137,IF($A$3='[1]Base de datos '!$K$9,'[1]Base de datos '!G137)))))</f>
        <v>868</v>
      </c>
      <c r="B139" s="17" t="str">
        <f t="shared" si="3"/>
        <v>ALTO</v>
      </c>
      <c r="C139" s="18" t="s">
        <v>11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 spans="1:21" ht="15.75" customHeight="1" x14ac:dyDescent="0.25">
      <c r="A140" s="16">
        <f>IF($A$3='[1]Base de datos '!$K$5,'[1]Base de datos '!C138,IF($A$3='[1]Base de datos '!$K$6,'[1]Base de datos '!D138,IF($A$3='[1]Base de datos '!$K$7,'[1]Base de datos '!E138,IF($A$3='[1]Base de datos '!$K$8,'[1]Base de datos '!F138,IF($A$3='[1]Base de datos '!$K$9,'[1]Base de datos '!G138)))))</f>
        <v>924</v>
      </c>
      <c r="B140" s="17" t="str">
        <f t="shared" si="3"/>
        <v>ALTO</v>
      </c>
      <c r="C140" s="18" t="s">
        <v>8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</row>
    <row r="141" spans="1:21" ht="15.75" customHeight="1" x14ac:dyDescent="0.25">
      <c r="A141" s="16">
        <f>IF($A$3='[1]Base de datos '!$K$5,'[1]Base de datos '!C139,IF($A$3='[1]Base de datos '!$K$6,'[1]Base de datos '!D139,IF($A$3='[1]Base de datos '!$K$7,'[1]Base de datos '!E139,IF($A$3='[1]Base de datos '!$K$8,'[1]Base de datos '!F139,IF($A$3='[1]Base de datos '!$K$9,'[1]Base de datos '!G139)))))</f>
        <v>325</v>
      </c>
      <c r="B141" s="17" t="str">
        <f t="shared" si="3"/>
        <v>MEDIO</v>
      </c>
      <c r="C141" s="18" t="s">
        <v>11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</row>
    <row r="142" spans="1:21" ht="15.75" customHeight="1" x14ac:dyDescent="0.25">
      <c r="A142" s="16">
        <f>IF($A$3='[1]Base de datos '!$K$5,'[1]Base de datos '!C140,IF($A$3='[1]Base de datos '!$K$6,'[1]Base de datos '!D140,IF($A$3='[1]Base de datos '!$K$7,'[1]Base de datos '!E140,IF($A$3='[1]Base de datos '!$K$8,'[1]Base de datos '!F140,IF($A$3='[1]Base de datos '!$K$9,'[1]Base de datos '!G140)))))</f>
        <v>769</v>
      </c>
      <c r="B142" s="17" t="str">
        <f t="shared" si="3"/>
        <v>ALTO</v>
      </c>
      <c r="C142" s="18" t="s">
        <v>19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</row>
    <row r="143" spans="1:21" ht="15.75" customHeight="1" x14ac:dyDescent="0.25">
      <c r="A143" s="16">
        <f>IF($A$3='[1]Base de datos '!$K$5,'[1]Base de datos '!C141,IF($A$3='[1]Base de datos '!$K$6,'[1]Base de datos '!D141,IF($A$3='[1]Base de datos '!$K$7,'[1]Base de datos '!E141,IF($A$3='[1]Base de datos '!$K$8,'[1]Base de datos '!F141,IF($A$3='[1]Base de datos '!$K$9,'[1]Base de datos '!G141)))))</f>
        <v>510</v>
      </c>
      <c r="B143" s="17" t="str">
        <f t="shared" si="3"/>
        <v>MEDIO</v>
      </c>
      <c r="C143" s="18" t="s">
        <v>19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</row>
    <row r="144" spans="1:21" ht="15.75" customHeight="1" x14ac:dyDescent="0.25">
      <c r="A144" s="16">
        <f>IF($A$3='[1]Base de datos '!$K$5,'[1]Base de datos '!C142,IF($A$3='[1]Base de datos '!$K$6,'[1]Base de datos '!D142,IF($A$3='[1]Base de datos '!$K$7,'[1]Base de datos '!E142,IF($A$3='[1]Base de datos '!$K$8,'[1]Base de datos '!F142,IF($A$3='[1]Base de datos '!$K$9,'[1]Base de datos '!G142)))))</f>
        <v>696</v>
      </c>
      <c r="B144" s="17" t="str">
        <f t="shared" si="3"/>
        <v>ALTO</v>
      </c>
      <c r="C144" s="18" t="s">
        <v>6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</row>
    <row r="145" spans="1:21" ht="15.75" customHeight="1" x14ac:dyDescent="0.25">
      <c r="A145" s="16">
        <f>IF($A$3='[1]Base de datos '!$K$5,'[1]Base de datos '!C143,IF($A$3='[1]Base de datos '!$K$6,'[1]Base de datos '!D143,IF($A$3='[1]Base de datos '!$K$7,'[1]Base de datos '!E143,IF($A$3='[1]Base de datos '!$K$8,'[1]Base de datos '!F143,IF($A$3='[1]Base de datos '!$K$9,'[1]Base de datos '!G143)))))</f>
        <v>787</v>
      </c>
      <c r="B145" s="17" t="str">
        <f t="shared" si="3"/>
        <v>ALTO</v>
      </c>
      <c r="C145" s="18" t="s">
        <v>11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</row>
    <row r="146" spans="1:21" ht="15.75" customHeight="1" x14ac:dyDescent="0.25">
      <c r="A146" s="16">
        <f>IF($A$3='[1]Base de datos '!$K$5,'[1]Base de datos '!C144,IF($A$3='[1]Base de datos '!$K$6,'[1]Base de datos '!D144,IF($A$3='[1]Base de datos '!$K$7,'[1]Base de datos '!E144,IF($A$3='[1]Base de datos '!$K$8,'[1]Base de datos '!F144,IF($A$3='[1]Base de datos '!$K$9,'[1]Base de datos '!G144)))))</f>
        <v>454</v>
      </c>
      <c r="B146" s="17" t="str">
        <f t="shared" si="3"/>
        <v>MEDIO</v>
      </c>
      <c r="C146" s="18" t="s">
        <v>17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</row>
    <row r="147" spans="1:21" ht="15.75" customHeight="1" x14ac:dyDescent="0.25">
      <c r="A147" s="16">
        <f>IF($A$3='[1]Base de datos '!$K$5,'[1]Base de datos '!C145,IF($A$3='[1]Base de datos '!$K$6,'[1]Base de datos '!D145,IF($A$3='[1]Base de datos '!$K$7,'[1]Base de datos '!E145,IF($A$3='[1]Base de datos '!$K$8,'[1]Base de datos '!F145,IF($A$3='[1]Base de datos '!$K$9,'[1]Base de datos '!G145)))))</f>
        <v>390</v>
      </c>
      <c r="B147" s="17" t="str">
        <f t="shared" si="3"/>
        <v>MEDIO</v>
      </c>
      <c r="C147" s="18" t="s">
        <v>17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</row>
    <row r="148" spans="1:21" ht="15.75" customHeight="1" x14ac:dyDescent="0.25">
      <c r="A148" s="16">
        <f>IF($A$3='[1]Base de datos '!$K$5,'[1]Base de datos '!C146,IF($A$3='[1]Base de datos '!$K$6,'[1]Base de datos '!D146,IF($A$3='[1]Base de datos '!$K$7,'[1]Base de datos '!E146,IF($A$3='[1]Base de datos '!$K$8,'[1]Base de datos '!F146,IF($A$3='[1]Base de datos '!$K$9,'[1]Base de datos '!G146)))))</f>
        <v>634</v>
      </c>
      <c r="B148" s="17" t="str">
        <f t="shared" si="3"/>
        <v>ALTO</v>
      </c>
      <c r="C148" s="18" t="s">
        <v>11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</row>
    <row r="149" spans="1:21" ht="15.75" customHeight="1" x14ac:dyDescent="0.25">
      <c r="A149" s="16">
        <f>IF($A$3='[1]Base de datos '!$K$5,'[1]Base de datos '!C147,IF($A$3='[1]Base de datos '!$K$6,'[1]Base de datos '!D147,IF($A$3='[1]Base de datos '!$K$7,'[1]Base de datos '!E147,IF($A$3='[1]Base de datos '!$K$8,'[1]Base de datos '!F147,IF($A$3='[1]Base de datos '!$K$9,'[1]Base de datos '!G147)))))</f>
        <v>555</v>
      </c>
      <c r="B149" s="17" t="str">
        <f t="shared" si="3"/>
        <v>MEDIO</v>
      </c>
      <c r="C149" s="18" t="s">
        <v>14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</row>
    <row r="150" spans="1:21" ht="15.75" customHeight="1" x14ac:dyDescent="0.25">
      <c r="A150" s="16">
        <f>IF($A$3='[1]Base de datos '!$K$5,'[1]Base de datos '!C148,IF($A$3='[1]Base de datos '!$K$6,'[1]Base de datos '!D148,IF($A$3='[1]Base de datos '!$K$7,'[1]Base de datos '!E148,IF($A$3='[1]Base de datos '!$K$8,'[1]Base de datos '!F148,IF($A$3='[1]Base de datos '!$K$9,'[1]Base de datos '!G148)))))</f>
        <v>505</v>
      </c>
      <c r="B150" s="17" t="str">
        <f t="shared" si="3"/>
        <v>MEDIO</v>
      </c>
      <c r="C150" s="18" t="s">
        <v>17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</row>
    <row r="151" spans="1:21" ht="15.75" customHeight="1" x14ac:dyDescent="0.25">
      <c r="A151" s="16">
        <f>IF($A$3='[1]Base de datos '!$K$5,'[1]Base de datos '!C149,IF($A$3='[1]Base de datos '!$K$6,'[1]Base de datos '!D149,IF($A$3='[1]Base de datos '!$K$7,'[1]Base de datos '!E149,IF($A$3='[1]Base de datos '!$K$8,'[1]Base de datos '!F149,IF($A$3='[1]Base de datos '!$K$9,'[1]Base de datos '!G149)))))</f>
        <v>716</v>
      </c>
      <c r="B151" s="17" t="str">
        <f t="shared" si="3"/>
        <v>ALTO</v>
      </c>
      <c r="C151" s="18" t="s">
        <v>18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</row>
    <row r="152" spans="1:21" ht="15.75" customHeight="1" x14ac:dyDescent="0.25">
      <c r="A152" s="16">
        <f>IF($A$3='[1]Base de datos '!$K$5,'[1]Base de datos '!C150,IF($A$3='[1]Base de datos '!$K$6,'[1]Base de datos '!D150,IF($A$3='[1]Base de datos '!$K$7,'[1]Base de datos '!E150,IF($A$3='[1]Base de datos '!$K$8,'[1]Base de datos '!F150,IF($A$3='[1]Base de datos '!$K$9,'[1]Base de datos '!G150)))))</f>
        <v>594</v>
      </c>
      <c r="B152" s="17" t="str">
        <f t="shared" si="3"/>
        <v>MEDIO</v>
      </c>
      <c r="C152" s="18" t="s">
        <v>18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</row>
    <row r="153" spans="1:21" ht="15.75" customHeight="1" x14ac:dyDescent="0.25">
      <c r="A153" s="16">
        <f>IF($A$3='[1]Base de datos '!$K$5,'[1]Base de datos '!C151,IF($A$3='[1]Base de datos '!$K$6,'[1]Base de datos '!D151,IF($A$3='[1]Base de datos '!$K$7,'[1]Base de datos '!E151,IF($A$3='[1]Base de datos '!$K$8,'[1]Base de datos '!F151,IF($A$3='[1]Base de datos '!$K$9,'[1]Base de datos '!G151)))))</f>
        <v>753</v>
      </c>
      <c r="B153" s="17" t="str">
        <f t="shared" si="3"/>
        <v>ALTO</v>
      </c>
      <c r="C153" s="18" t="s">
        <v>18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</row>
    <row r="154" spans="1:21" ht="15.75" customHeight="1" x14ac:dyDescent="0.25">
      <c r="A154" s="16">
        <f>IF($A$3='[1]Base de datos '!$K$5,'[1]Base de datos '!C152,IF($A$3='[1]Base de datos '!$K$6,'[1]Base de datos '!D152,IF($A$3='[1]Base de datos '!$K$7,'[1]Base de datos '!E152,IF($A$3='[1]Base de datos '!$K$8,'[1]Base de datos '!F152,IF($A$3='[1]Base de datos '!$K$9,'[1]Base de datos '!G152)))))</f>
        <v>792</v>
      </c>
      <c r="B154" s="17" t="str">
        <f t="shared" si="3"/>
        <v>ALTO</v>
      </c>
      <c r="C154" s="18" t="s">
        <v>11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</row>
    <row r="155" spans="1:21" ht="15.75" customHeight="1" x14ac:dyDescent="0.25">
      <c r="A155" s="16">
        <f>IF($A$3='[1]Base de datos '!$K$5,'[1]Base de datos '!C153,IF($A$3='[1]Base de datos '!$K$6,'[1]Base de datos '!D153,IF($A$3='[1]Base de datos '!$K$7,'[1]Base de datos '!E153,IF($A$3='[1]Base de datos '!$K$8,'[1]Base de datos '!F153,IF($A$3='[1]Base de datos '!$K$9,'[1]Base de datos '!G153)))))</f>
        <v>462</v>
      </c>
      <c r="B155" s="17" t="str">
        <f t="shared" si="3"/>
        <v>MEDIO</v>
      </c>
      <c r="C155" s="18" t="s">
        <v>17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</row>
    <row r="156" spans="1:21" ht="15.75" customHeight="1" x14ac:dyDescent="0.25">
      <c r="A156" s="16">
        <f>IF($A$3='[1]Base de datos '!$K$5,'[1]Base de datos '!C154,IF($A$3='[1]Base de datos '!$K$6,'[1]Base de datos '!D154,IF($A$3='[1]Base de datos '!$K$7,'[1]Base de datos '!E154,IF($A$3='[1]Base de datos '!$K$8,'[1]Base de datos '!F154,IF($A$3='[1]Base de datos '!$K$9,'[1]Base de datos '!G154)))))</f>
        <v>502</v>
      </c>
      <c r="B156" s="17" t="str">
        <f t="shared" si="3"/>
        <v>MEDIO</v>
      </c>
      <c r="C156" s="18" t="s">
        <v>17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</row>
    <row r="157" spans="1:21" ht="15.75" customHeight="1" x14ac:dyDescent="0.25">
      <c r="A157" s="16">
        <f>IF($A$3='[1]Base de datos '!$K$5,'[1]Base de datos '!C155,IF($A$3='[1]Base de datos '!$K$6,'[1]Base de datos '!D155,IF($A$3='[1]Base de datos '!$K$7,'[1]Base de datos '!E155,IF($A$3='[1]Base de datos '!$K$8,'[1]Base de datos '!F155,IF($A$3='[1]Base de datos '!$K$9,'[1]Base de datos '!G155)))))</f>
        <v>708</v>
      </c>
      <c r="B157" s="17" t="str">
        <f t="shared" si="3"/>
        <v>ALTO</v>
      </c>
      <c r="C157" s="18" t="s">
        <v>8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</row>
    <row r="158" spans="1:21" ht="15.75" customHeight="1" x14ac:dyDescent="0.25">
      <c r="A158" s="16">
        <f>IF($A$3='[1]Base de datos '!$K$5,'[1]Base de datos '!C156,IF($A$3='[1]Base de datos '!$K$6,'[1]Base de datos '!D156,IF($A$3='[1]Base de datos '!$K$7,'[1]Base de datos '!E156,IF($A$3='[1]Base de datos '!$K$8,'[1]Base de datos '!F156,IF($A$3='[1]Base de datos '!$K$9,'[1]Base de datos '!G156)))))</f>
        <v>690</v>
      </c>
      <c r="B158" s="17" t="str">
        <f t="shared" si="3"/>
        <v>ALTO</v>
      </c>
      <c r="C158" s="18" t="s">
        <v>19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</row>
    <row r="159" spans="1:21" ht="15.75" customHeight="1" x14ac:dyDescent="0.25">
      <c r="A159" s="16">
        <f>IF($A$3='[1]Base de datos '!$K$5,'[1]Base de datos '!C157,IF($A$3='[1]Base de datos '!$K$6,'[1]Base de datos '!D157,IF($A$3='[1]Base de datos '!$K$7,'[1]Base de datos '!E157,IF($A$3='[1]Base de datos '!$K$8,'[1]Base de datos '!F157,IF($A$3='[1]Base de datos '!$K$9,'[1]Base de datos '!G157)))))</f>
        <v>673</v>
      </c>
      <c r="B159" s="17" t="str">
        <f t="shared" si="3"/>
        <v>ALTO</v>
      </c>
      <c r="C159" s="18" t="s">
        <v>8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</row>
    <row r="160" spans="1:21" ht="15.75" customHeight="1" x14ac:dyDescent="0.25">
      <c r="A160" s="16">
        <f>IF($A$3='[1]Base de datos '!$K$5,'[1]Base de datos '!C158,IF($A$3='[1]Base de datos '!$K$6,'[1]Base de datos '!D158,IF($A$3='[1]Base de datos '!$K$7,'[1]Base de datos '!E158,IF($A$3='[1]Base de datos '!$K$8,'[1]Base de datos '!F158,IF($A$3='[1]Base de datos '!$K$9,'[1]Base de datos '!G158)))))</f>
        <v>991</v>
      </c>
      <c r="B160" s="17" t="str">
        <f t="shared" si="3"/>
        <v>ALTO</v>
      </c>
      <c r="C160" s="18" t="s">
        <v>8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</row>
    <row r="161" spans="1:21" ht="15.75" customHeight="1" x14ac:dyDescent="0.25">
      <c r="A161" s="16">
        <f>IF($A$3='[1]Base de datos '!$K$5,'[1]Base de datos '!C159,IF($A$3='[1]Base de datos '!$K$6,'[1]Base de datos '!D159,IF($A$3='[1]Base de datos '!$K$7,'[1]Base de datos '!E159,IF($A$3='[1]Base de datos '!$K$8,'[1]Base de datos '!F159,IF($A$3='[1]Base de datos '!$K$9,'[1]Base de datos '!G159)))))</f>
        <v>1007</v>
      </c>
      <c r="B161" s="17" t="str">
        <f t="shared" si="3"/>
        <v>ALTO</v>
      </c>
      <c r="C161" s="18" t="s">
        <v>11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</row>
    <row r="162" spans="1:21" ht="15.75" customHeight="1" x14ac:dyDescent="0.25">
      <c r="A162" s="16">
        <f>IF($A$3='[1]Base de datos '!$K$5,'[1]Base de datos '!C160,IF($A$3='[1]Base de datos '!$K$6,'[1]Base de datos '!D160,IF($A$3='[1]Base de datos '!$K$7,'[1]Base de datos '!E160,IF($A$3='[1]Base de datos '!$K$8,'[1]Base de datos '!F160,IF($A$3='[1]Base de datos '!$K$9,'[1]Base de datos '!G160)))))</f>
        <v>222</v>
      </c>
      <c r="B162" s="17" t="str">
        <f t="shared" si="3"/>
        <v>BAJO</v>
      </c>
      <c r="C162" s="18" t="s">
        <v>6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</row>
    <row r="163" spans="1:21" ht="15.75" customHeight="1" x14ac:dyDescent="0.25">
      <c r="A163" s="16">
        <f>IF($A$3='[1]Base de datos '!$K$5,'[1]Base de datos '!C161,IF($A$3='[1]Base de datos '!$K$6,'[1]Base de datos '!D161,IF($A$3='[1]Base de datos '!$K$7,'[1]Base de datos '!E161,IF($A$3='[1]Base de datos '!$K$8,'[1]Base de datos '!F161,IF($A$3='[1]Base de datos '!$K$9,'[1]Base de datos '!G161)))))</f>
        <v>641</v>
      </c>
      <c r="B163" s="17" t="str">
        <f t="shared" si="3"/>
        <v>ALTO</v>
      </c>
      <c r="C163" s="18" t="s">
        <v>6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</row>
    <row r="164" spans="1:21" ht="15.75" customHeight="1" x14ac:dyDescent="0.25">
      <c r="A164" s="16">
        <f>IF($A$3='[1]Base de datos '!$K$5,'[1]Base de datos '!C162,IF($A$3='[1]Base de datos '!$K$6,'[1]Base de datos '!D162,IF($A$3='[1]Base de datos '!$K$7,'[1]Base de datos '!E162,IF($A$3='[1]Base de datos '!$K$8,'[1]Base de datos '!F162,IF($A$3='[1]Base de datos '!$K$9,'[1]Base de datos '!G162)))))</f>
        <v>573</v>
      </c>
      <c r="B164" s="17" t="str">
        <f t="shared" si="3"/>
        <v>MEDIO</v>
      </c>
      <c r="C164" s="18" t="s">
        <v>18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</row>
    <row r="165" spans="1:21" ht="15.75" customHeight="1" x14ac:dyDescent="0.25">
      <c r="A165" s="16">
        <f>IF($A$3='[1]Base de datos '!$K$5,'[1]Base de datos '!C163,IF($A$3='[1]Base de datos '!$K$6,'[1]Base de datos '!D163,IF($A$3='[1]Base de datos '!$K$7,'[1]Base de datos '!E163,IF($A$3='[1]Base de datos '!$K$8,'[1]Base de datos '!F163,IF($A$3='[1]Base de datos '!$K$9,'[1]Base de datos '!G163)))))</f>
        <v>386</v>
      </c>
      <c r="B165" s="17" t="str">
        <f t="shared" si="3"/>
        <v>MEDIO</v>
      </c>
      <c r="C165" s="18" t="s">
        <v>14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</row>
    <row r="166" spans="1:21" ht="15.75" customHeight="1" x14ac:dyDescent="0.25">
      <c r="A166" s="16">
        <f>IF($A$3='[1]Base de datos '!$K$5,'[1]Base de datos '!C164,IF($A$3='[1]Base de datos '!$K$6,'[1]Base de datos '!D164,IF($A$3='[1]Base de datos '!$K$7,'[1]Base de datos '!E164,IF($A$3='[1]Base de datos '!$K$8,'[1]Base de datos '!F164,IF($A$3='[1]Base de datos '!$K$9,'[1]Base de datos '!G164)))))</f>
        <v>231</v>
      </c>
      <c r="B166" s="17" t="str">
        <f t="shared" si="3"/>
        <v>BAJO</v>
      </c>
      <c r="C166" s="18" t="s">
        <v>8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 spans="1:21" ht="15.75" customHeight="1" x14ac:dyDescent="0.25">
      <c r="A167" s="16">
        <f>IF($A$3='[1]Base de datos '!$K$5,'[1]Base de datos '!C165,IF($A$3='[1]Base de datos '!$K$6,'[1]Base de datos '!D165,IF($A$3='[1]Base de datos '!$K$7,'[1]Base de datos '!E165,IF($A$3='[1]Base de datos '!$K$8,'[1]Base de datos '!F165,IF($A$3='[1]Base de datos '!$K$9,'[1]Base de datos '!G165)))))</f>
        <v>80</v>
      </c>
      <c r="B167" s="17" t="str">
        <f t="shared" si="3"/>
        <v>BAJO</v>
      </c>
      <c r="C167" s="18" t="s">
        <v>6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</row>
    <row r="168" spans="1:21" ht="15.75" customHeight="1" x14ac:dyDescent="0.25">
      <c r="A168" s="16">
        <f>IF($A$3='[1]Base de datos '!$K$5,'[1]Base de datos '!C166,IF($A$3='[1]Base de datos '!$K$6,'[1]Base de datos '!D166,IF($A$3='[1]Base de datos '!$K$7,'[1]Base de datos '!E166,IF($A$3='[1]Base de datos '!$K$8,'[1]Base de datos '!F166,IF($A$3='[1]Base de datos '!$K$9,'[1]Base de datos '!G166)))))</f>
        <v>552</v>
      </c>
      <c r="B168" s="17" t="str">
        <f t="shared" si="3"/>
        <v>MEDIO</v>
      </c>
      <c r="C168" s="18" t="s">
        <v>17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</row>
    <row r="169" spans="1:21" ht="15.75" customHeight="1" x14ac:dyDescent="0.25">
      <c r="A169" s="16">
        <f>IF($A$3='[1]Base de datos '!$K$5,'[1]Base de datos '!C167,IF($A$3='[1]Base de datos '!$K$6,'[1]Base de datos '!D167,IF($A$3='[1]Base de datos '!$K$7,'[1]Base de datos '!E167,IF($A$3='[1]Base de datos '!$K$8,'[1]Base de datos '!F167,IF($A$3='[1]Base de datos '!$K$9,'[1]Base de datos '!G167)))))</f>
        <v>507</v>
      </c>
      <c r="B169" s="17" t="str">
        <f t="shared" si="3"/>
        <v>MEDIO</v>
      </c>
      <c r="C169" s="18" t="s">
        <v>8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</row>
    <row r="170" spans="1:21" ht="15.75" customHeight="1" x14ac:dyDescent="0.25">
      <c r="A170" s="16">
        <f>IF($A$3='[1]Base de datos '!$K$5,'[1]Base de datos '!C168,IF($A$3='[1]Base de datos '!$K$6,'[1]Base de datos '!D168,IF($A$3='[1]Base de datos '!$K$7,'[1]Base de datos '!E168,IF($A$3='[1]Base de datos '!$K$8,'[1]Base de datos '!F168,IF($A$3='[1]Base de datos '!$K$9,'[1]Base de datos '!G168)))))</f>
        <v>673</v>
      </c>
      <c r="B170" s="17" t="str">
        <f t="shared" si="3"/>
        <v>ALTO</v>
      </c>
      <c r="C170" s="18" t="s">
        <v>18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 spans="1:21" ht="15.75" customHeight="1" x14ac:dyDescent="0.25">
      <c r="A171" s="16">
        <f>IF($A$3='[1]Base de datos '!$K$5,'[1]Base de datos '!C169,IF($A$3='[1]Base de datos '!$K$6,'[1]Base de datos '!D169,IF($A$3='[1]Base de datos '!$K$7,'[1]Base de datos '!E169,IF($A$3='[1]Base de datos '!$K$8,'[1]Base de datos '!F169,IF($A$3='[1]Base de datos '!$K$9,'[1]Base de datos '!G169)))))</f>
        <v>544</v>
      </c>
      <c r="B171" s="17" t="str">
        <f t="shared" si="3"/>
        <v>MEDIO</v>
      </c>
      <c r="C171" s="18" t="s">
        <v>11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</row>
    <row r="172" spans="1:21" ht="15.75" customHeight="1" x14ac:dyDescent="0.25">
      <c r="A172" s="16">
        <f>IF($A$3='[1]Base de datos '!$K$5,'[1]Base de datos '!C170,IF($A$3='[1]Base de datos '!$K$6,'[1]Base de datos '!D170,IF($A$3='[1]Base de datos '!$K$7,'[1]Base de datos '!E170,IF($A$3='[1]Base de datos '!$K$8,'[1]Base de datos '!F170,IF($A$3='[1]Base de datos '!$K$9,'[1]Base de datos '!G170)))))</f>
        <v>802</v>
      </c>
      <c r="B172" s="17" t="str">
        <f t="shared" si="3"/>
        <v>ALTO</v>
      </c>
      <c r="C172" s="18" t="s">
        <v>14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</row>
    <row r="173" spans="1:21" ht="15.75" customHeight="1" x14ac:dyDescent="0.25">
      <c r="A173" s="16">
        <f>IF($A$3='[1]Base de datos '!$K$5,'[1]Base de datos '!C171,IF($A$3='[1]Base de datos '!$K$6,'[1]Base de datos '!D171,IF($A$3='[1]Base de datos '!$K$7,'[1]Base de datos '!E171,IF($A$3='[1]Base de datos '!$K$8,'[1]Base de datos '!F171,IF($A$3='[1]Base de datos '!$K$9,'[1]Base de datos '!G171)))))</f>
        <v>892</v>
      </c>
      <c r="B173" s="17" t="str">
        <f t="shared" si="3"/>
        <v>ALTO</v>
      </c>
      <c r="C173" s="18" t="s">
        <v>17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</row>
    <row r="174" spans="1:21" ht="15.75" customHeight="1" x14ac:dyDescent="0.25">
      <c r="A174" s="16">
        <f>IF($A$3='[1]Base de datos '!$K$5,'[1]Base de datos '!C172,IF($A$3='[1]Base de datos '!$K$6,'[1]Base de datos '!D172,IF($A$3='[1]Base de datos '!$K$7,'[1]Base de datos '!E172,IF($A$3='[1]Base de datos '!$K$8,'[1]Base de datos '!F172,IF($A$3='[1]Base de datos '!$K$9,'[1]Base de datos '!G172)))))</f>
        <v>440</v>
      </c>
      <c r="B174" s="17" t="str">
        <f t="shared" si="3"/>
        <v>MEDIO</v>
      </c>
      <c r="C174" s="18" t="s">
        <v>14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</row>
    <row r="175" spans="1:21" ht="15.75" customHeight="1" x14ac:dyDescent="0.25">
      <c r="A175" s="16">
        <f>IF($A$3='[1]Base de datos '!$K$5,'[1]Base de datos '!C173,IF($A$3='[1]Base de datos '!$K$6,'[1]Base de datos '!D173,IF($A$3='[1]Base de datos '!$K$7,'[1]Base de datos '!E173,IF($A$3='[1]Base de datos '!$K$8,'[1]Base de datos '!F173,IF($A$3='[1]Base de datos '!$K$9,'[1]Base de datos '!G173)))))</f>
        <v>475</v>
      </c>
      <c r="B175" s="17" t="str">
        <f t="shared" si="3"/>
        <v>MEDIO</v>
      </c>
      <c r="C175" s="18" t="s">
        <v>17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</row>
    <row r="176" spans="1:21" ht="15.75" customHeight="1" x14ac:dyDescent="0.25">
      <c r="A176" s="16">
        <f>IF($A$3='[1]Base de datos '!$K$5,'[1]Base de datos '!C174,IF($A$3='[1]Base de datos '!$K$6,'[1]Base de datos '!D174,IF($A$3='[1]Base de datos '!$K$7,'[1]Base de datos '!E174,IF($A$3='[1]Base de datos '!$K$8,'[1]Base de datos '!F174,IF($A$3='[1]Base de datos '!$K$9,'[1]Base de datos '!G174)))))</f>
        <v>937</v>
      </c>
      <c r="B176" s="17" t="str">
        <f t="shared" si="3"/>
        <v>ALTO</v>
      </c>
      <c r="C176" s="18" t="s">
        <v>6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</row>
    <row r="177" spans="1:21" ht="15.75" customHeight="1" x14ac:dyDescent="0.25">
      <c r="A177" s="16">
        <f>IF($A$3='[1]Base de datos '!$K$5,'[1]Base de datos '!C175,IF($A$3='[1]Base de datos '!$K$6,'[1]Base de datos '!D175,IF($A$3='[1]Base de datos '!$K$7,'[1]Base de datos '!E175,IF($A$3='[1]Base de datos '!$K$8,'[1]Base de datos '!F175,IF($A$3='[1]Base de datos '!$K$9,'[1]Base de datos '!G175)))))</f>
        <v>400</v>
      </c>
      <c r="B177" s="17" t="str">
        <f t="shared" si="3"/>
        <v>MEDIO</v>
      </c>
      <c r="C177" s="18" t="s">
        <v>6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</row>
    <row r="178" spans="1:21" ht="15.75" customHeight="1" x14ac:dyDescent="0.25">
      <c r="A178" s="16">
        <f>IF($A$3='[1]Base de datos '!$K$5,'[1]Base de datos '!C176,IF($A$3='[1]Base de datos '!$K$6,'[1]Base de datos '!D176,IF($A$3='[1]Base de datos '!$K$7,'[1]Base de datos '!E176,IF($A$3='[1]Base de datos '!$K$8,'[1]Base de datos '!F176,IF($A$3='[1]Base de datos '!$K$9,'[1]Base de datos '!G176)))))</f>
        <v>1034</v>
      </c>
      <c r="B178" s="17" t="str">
        <f t="shared" si="3"/>
        <v>ALTO</v>
      </c>
      <c r="C178" s="18" t="s">
        <v>17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</row>
    <row r="179" spans="1:21" ht="15.75" customHeight="1" x14ac:dyDescent="0.25">
      <c r="A179" s="16">
        <f>IF($A$3='[1]Base de datos '!$K$5,'[1]Base de datos '!C177,IF($A$3='[1]Base de datos '!$K$6,'[1]Base de datos '!D177,IF($A$3='[1]Base de datos '!$K$7,'[1]Base de datos '!E177,IF($A$3='[1]Base de datos '!$K$8,'[1]Base de datos '!F177,IF($A$3='[1]Base de datos '!$K$9,'[1]Base de datos '!G177)))))</f>
        <v>1122</v>
      </c>
      <c r="B179" s="17" t="str">
        <f t="shared" si="3"/>
        <v>ALTO</v>
      </c>
      <c r="C179" s="18" t="s">
        <v>6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</row>
    <row r="180" spans="1:21" ht="15.75" customHeight="1" x14ac:dyDescent="0.25">
      <c r="A180" s="16">
        <f>IF($A$3='[1]Base de datos '!$K$5,'[1]Base de datos '!C178,IF($A$3='[1]Base de datos '!$K$6,'[1]Base de datos '!D178,IF($A$3='[1]Base de datos '!$K$7,'[1]Base de datos '!E178,IF($A$3='[1]Base de datos '!$K$8,'[1]Base de datos '!F178,IF($A$3='[1]Base de datos '!$K$9,'[1]Base de datos '!G178)))))</f>
        <v>526</v>
      </c>
      <c r="B180" s="17" t="str">
        <f t="shared" si="3"/>
        <v>MEDIO</v>
      </c>
      <c r="C180" s="18" t="s">
        <v>8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</row>
    <row r="181" spans="1:21" ht="15.75" customHeight="1" x14ac:dyDescent="0.25">
      <c r="A181" s="16">
        <f>IF($A$3='[1]Base de datos '!$K$5,'[1]Base de datos '!C179,IF($A$3='[1]Base de datos '!$K$6,'[1]Base de datos '!D179,IF($A$3='[1]Base de datos '!$K$7,'[1]Base de datos '!E179,IF($A$3='[1]Base de datos '!$K$8,'[1]Base de datos '!F179,IF($A$3='[1]Base de datos '!$K$9,'[1]Base de datos '!G179)))))</f>
        <v>637</v>
      </c>
      <c r="B181" s="17" t="str">
        <f t="shared" si="3"/>
        <v>ALTO</v>
      </c>
      <c r="C181" s="18" t="s">
        <v>8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 spans="1:21" ht="15.75" customHeight="1" x14ac:dyDescent="0.25">
      <c r="A182" s="16">
        <f>IF($A$3='[1]Base de datos '!$K$5,'[1]Base de datos '!C180,IF($A$3='[1]Base de datos '!$K$6,'[1]Base de datos '!D180,IF($A$3='[1]Base de datos '!$K$7,'[1]Base de datos '!E180,IF($A$3='[1]Base de datos '!$K$8,'[1]Base de datos '!F180,IF($A$3='[1]Base de datos '!$K$9,'[1]Base de datos '!G180)))))</f>
        <v>711</v>
      </c>
      <c r="B182" s="17" t="str">
        <f t="shared" si="3"/>
        <v>ALTO</v>
      </c>
      <c r="C182" s="18" t="s">
        <v>19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</row>
    <row r="183" spans="1:21" ht="15.75" customHeight="1" x14ac:dyDescent="0.25">
      <c r="A183" s="16">
        <f>IF($A$3='[1]Base de datos '!$K$5,'[1]Base de datos '!C181,IF($A$3='[1]Base de datos '!$K$6,'[1]Base de datos '!D181,IF($A$3='[1]Base de datos '!$K$7,'[1]Base de datos '!E181,IF($A$3='[1]Base de datos '!$K$8,'[1]Base de datos '!F181,IF($A$3='[1]Base de datos '!$K$9,'[1]Base de datos '!G181)))))</f>
        <v>301</v>
      </c>
      <c r="B183" s="17" t="str">
        <f t="shared" si="3"/>
        <v>BAJO</v>
      </c>
      <c r="C183" s="18" t="s">
        <v>6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</row>
    <row r="184" spans="1:21" ht="15.75" customHeight="1" x14ac:dyDescent="0.25">
      <c r="A184" s="16">
        <f>IF($A$3='[1]Base de datos '!$K$5,'[1]Base de datos '!C182,IF($A$3='[1]Base de datos '!$K$6,'[1]Base de datos '!D182,IF($A$3='[1]Base de datos '!$K$7,'[1]Base de datos '!E182,IF($A$3='[1]Base de datos '!$K$8,'[1]Base de datos '!F182,IF($A$3='[1]Base de datos '!$K$9,'[1]Base de datos '!G182)))))</f>
        <v>1121</v>
      </c>
      <c r="B184" s="17" t="str">
        <f t="shared" si="3"/>
        <v>ALTO</v>
      </c>
      <c r="C184" s="18" t="s">
        <v>19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</row>
    <row r="185" spans="1:21" ht="15.75" customHeight="1" x14ac:dyDescent="0.25">
      <c r="A185" s="16">
        <f>IF($A$3='[1]Base de datos '!$K$5,'[1]Base de datos '!C183,IF($A$3='[1]Base de datos '!$K$6,'[1]Base de datos '!D183,IF($A$3='[1]Base de datos '!$K$7,'[1]Base de datos '!E183,IF($A$3='[1]Base de datos '!$K$8,'[1]Base de datos '!F183,IF($A$3='[1]Base de datos '!$K$9,'[1]Base de datos '!G183)))))</f>
        <v>82</v>
      </c>
      <c r="B185" s="17" t="str">
        <f t="shared" si="3"/>
        <v>BAJO</v>
      </c>
      <c r="C185" s="18" t="s">
        <v>11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</row>
    <row r="186" spans="1:21" ht="15.75" customHeight="1" x14ac:dyDescent="0.25">
      <c r="A186" s="16">
        <f>IF($A$3='[1]Base de datos '!$K$5,'[1]Base de datos '!C184,IF($A$3='[1]Base de datos '!$K$6,'[1]Base de datos '!D184,IF($A$3='[1]Base de datos '!$K$7,'[1]Base de datos '!E184,IF($A$3='[1]Base de datos '!$K$8,'[1]Base de datos '!F184,IF($A$3='[1]Base de datos '!$K$9,'[1]Base de datos '!G184)))))</f>
        <v>598</v>
      </c>
      <c r="B186" s="17" t="str">
        <f t="shared" si="3"/>
        <v>MEDIO</v>
      </c>
      <c r="C186" s="18" t="s">
        <v>18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</row>
    <row r="187" spans="1:21" ht="15.75" customHeight="1" x14ac:dyDescent="0.25">
      <c r="A187" s="16">
        <f>IF($A$3='[1]Base de datos '!$K$5,'[1]Base de datos '!C185,IF($A$3='[1]Base de datos '!$K$6,'[1]Base de datos '!D185,IF($A$3='[1]Base de datos '!$K$7,'[1]Base de datos '!E185,IF($A$3='[1]Base de datos '!$K$8,'[1]Base de datos '!F185,IF($A$3='[1]Base de datos '!$K$9,'[1]Base de datos '!G185)))))</f>
        <v>520</v>
      </c>
      <c r="B187" s="17" t="str">
        <f t="shared" si="3"/>
        <v>MEDIO</v>
      </c>
      <c r="C187" s="18" t="s">
        <v>19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</row>
    <row r="188" spans="1:21" ht="15.75" customHeight="1" x14ac:dyDescent="0.25">
      <c r="A188" s="16">
        <f>IF($A$3='[1]Base de datos '!$K$5,'[1]Base de datos '!C186,IF($A$3='[1]Base de datos '!$K$6,'[1]Base de datos '!D186,IF($A$3='[1]Base de datos '!$K$7,'[1]Base de datos '!E186,IF($A$3='[1]Base de datos '!$K$8,'[1]Base de datos '!F186,IF($A$3='[1]Base de datos '!$K$9,'[1]Base de datos '!G186)))))</f>
        <v>1108</v>
      </c>
      <c r="B188" s="17" t="str">
        <f t="shared" si="3"/>
        <v>ALTO</v>
      </c>
      <c r="C188" s="18" t="s">
        <v>14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</row>
    <row r="189" spans="1:21" ht="15.75" customHeight="1" x14ac:dyDescent="0.25">
      <c r="A189" s="16">
        <f>IF($A$3='[1]Base de datos '!$K$5,'[1]Base de datos '!C187,IF($A$3='[1]Base de datos '!$K$6,'[1]Base de datos '!D187,IF($A$3='[1]Base de datos '!$K$7,'[1]Base de datos '!E187,IF($A$3='[1]Base de datos '!$K$8,'[1]Base de datos '!F187,IF($A$3='[1]Base de datos '!$K$9,'[1]Base de datos '!G187)))))</f>
        <v>631</v>
      </c>
      <c r="B189" s="17" t="str">
        <f t="shared" si="3"/>
        <v>ALTO</v>
      </c>
      <c r="C189" s="18" t="s">
        <v>11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</row>
    <row r="190" spans="1:21" ht="15.75" customHeight="1" x14ac:dyDescent="0.25">
      <c r="A190" s="16">
        <f>IF($A$3='[1]Base de datos '!$K$5,'[1]Base de datos '!C188,IF($A$3='[1]Base de datos '!$K$6,'[1]Base de datos '!D188,IF($A$3='[1]Base de datos '!$K$7,'[1]Base de datos '!E188,IF($A$3='[1]Base de datos '!$K$8,'[1]Base de datos '!F188,IF($A$3='[1]Base de datos '!$K$9,'[1]Base de datos '!G188)))))</f>
        <v>250</v>
      </c>
      <c r="B190" s="17" t="str">
        <f t="shared" si="3"/>
        <v>BAJO</v>
      </c>
      <c r="C190" s="18" t="s">
        <v>6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</row>
    <row r="191" spans="1:21" ht="15.75" customHeight="1" x14ac:dyDescent="0.25">
      <c r="A191" s="16">
        <f>IF($A$3='[1]Base de datos '!$K$5,'[1]Base de datos '!C189,IF($A$3='[1]Base de datos '!$K$6,'[1]Base de datos '!D189,IF($A$3='[1]Base de datos '!$K$7,'[1]Base de datos '!E189,IF($A$3='[1]Base de datos '!$K$8,'[1]Base de datos '!F189,IF($A$3='[1]Base de datos '!$K$9,'[1]Base de datos '!G189)))))</f>
        <v>740</v>
      </c>
      <c r="B191" s="17" t="str">
        <f t="shared" si="3"/>
        <v>ALTO</v>
      </c>
      <c r="C191" s="18" t="s">
        <v>11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</row>
    <row r="192" spans="1:21" ht="15.75" customHeight="1" x14ac:dyDescent="0.25">
      <c r="A192" s="16">
        <f>IF($A$3='[1]Base de datos '!$K$5,'[1]Base de datos '!C190,IF($A$3='[1]Base de datos '!$K$6,'[1]Base de datos '!D190,IF($A$3='[1]Base de datos '!$K$7,'[1]Base de datos '!E190,IF($A$3='[1]Base de datos '!$K$8,'[1]Base de datos '!F190,IF($A$3='[1]Base de datos '!$K$9,'[1]Base de datos '!G190)))))</f>
        <v>686</v>
      </c>
      <c r="B192" s="17" t="str">
        <f t="shared" si="3"/>
        <v>ALTO</v>
      </c>
      <c r="C192" s="18" t="s">
        <v>18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</row>
    <row r="193" spans="1:21" ht="15.75" customHeight="1" x14ac:dyDescent="0.25">
      <c r="A193" s="16">
        <f>IF($A$3='[1]Base de datos '!$K$5,'[1]Base de datos '!C191,IF($A$3='[1]Base de datos '!$K$6,'[1]Base de datos '!D191,IF($A$3='[1]Base de datos '!$K$7,'[1]Base de datos '!E191,IF($A$3='[1]Base de datos '!$K$8,'[1]Base de datos '!F191,IF($A$3='[1]Base de datos '!$K$9,'[1]Base de datos '!G191)))))</f>
        <v>931</v>
      </c>
      <c r="B193" s="17" t="str">
        <f t="shared" si="3"/>
        <v>ALTO</v>
      </c>
      <c r="C193" s="18" t="s">
        <v>11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</row>
    <row r="194" spans="1:21" ht="15.75" customHeight="1" x14ac:dyDescent="0.25">
      <c r="A194" s="16">
        <f>IF($A$3='[1]Base de datos '!$K$5,'[1]Base de datos '!C192,IF($A$3='[1]Base de datos '!$K$6,'[1]Base de datos '!D192,IF($A$3='[1]Base de datos '!$K$7,'[1]Base de datos '!E192,IF($A$3='[1]Base de datos '!$K$8,'[1]Base de datos '!F192,IF($A$3='[1]Base de datos '!$K$9,'[1]Base de datos '!G192)))))</f>
        <v>174</v>
      </c>
      <c r="B194" s="17" t="str">
        <f t="shared" si="3"/>
        <v>BAJO</v>
      </c>
      <c r="C194" s="18" t="s">
        <v>8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</row>
    <row r="195" spans="1:21" ht="15.75" customHeight="1" x14ac:dyDescent="0.25">
      <c r="A195" s="16">
        <f>IF($A$3='[1]Base de datos '!$K$5,'[1]Base de datos '!C193,IF($A$3='[1]Base de datos '!$K$6,'[1]Base de datos '!D193,IF($A$3='[1]Base de datos '!$K$7,'[1]Base de datos '!E193,IF($A$3='[1]Base de datos '!$K$8,'[1]Base de datos '!F193,IF($A$3='[1]Base de datos '!$K$9,'[1]Base de datos '!G193)))))</f>
        <v>855</v>
      </c>
      <c r="B195" s="17" t="str">
        <f t="shared" si="3"/>
        <v>ALTO</v>
      </c>
      <c r="C195" s="18" t="s">
        <v>6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</row>
    <row r="196" spans="1:21" ht="15.75" customHeight="1" x14ac:dyDescent="0.25">
      <c r="A196" s="16">
        <f>IF($A$3='[1]Base de datos '!$K$5,'[1]Base de datos '!C194,IF($A$3='[1]Base de datos '!$K$6,'[1]Base de datos '!D194,IF($A$3='[1]Base de datos '!$K$7,'[1]Base de datos '!E194,IF($A$3='[1]Base de datos '!$K$8,'[1]Base de datos '!F194,IF($A$3='[1]Base de datos '!$K$9,'[1]Base de datos '!G194)))))</f>
        <v>877</v>
      </c>
      <c r="B196" s="17" t="str">
        <f t="shared" si="3"/>
        <v>ALTO</v>
      </c>
      <c r="C196" s="18" t="s">
        <v>17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</row>
    <row r="197" spans="1:21" ht="15.75" customHeight="1" x14ac:dyDescent="0.25">
      <c r="A197" s="16">
        <f>IF($A$3='[1]Base de datos '!$K$5,'[1]Base de datos '!C195,IF($A$3='[1]Base de datos '!$K$6,'[1]Base de datos '!D195,IF($A$3='[1]Base de datos '!$K$7,'[1]Base de datos '!E195,IF($A$3='[1]Base de datos '!$K$8,'[1]Base de datos '!F195,IF($A$3='[1]Base de datos '!$K$9,'[1]Base de datos '!G195)))))</f>
        <v>444</v>
      </c>
      <c r="B197" s="17" t="str">
        <f t="shared" si="3"/>
        <v>MEDIO</v>
      </c>
      <c r="C197" s="18" t="s">
        <v>8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</row>
    <row r="198" spans="1:21" ht="15.75" customHeight="1" x14ac:dyDescent="0.25">
      <c r="A198" s="16">
        <f>IF($A$3='[1]Base de datos '!$K$5,'[1]Base de datos '!C196,IF($A$3='[1]Base de datos '!$K$6,'[1]Base de datos '!D196,IF($A$3='[1]Base de datos '!$K$7,'[1]Base de datos '!E196,IF($A$3='[1]Base de datos '!$K$8,'[1]Base de datos '!F196,IF($A$3='[1]Base de datos '!$K$9,'[1]Base de datos '!G196)))))</f>
        <v>376</v>
      </c>
      <c r="B198" s="17" t="str">
        <f t="shared" ref="B198:B261" si="4">IF(A198&lt;=$I$5,"BAJO",IF(A198&lt;=$I$6,"MEDIO","ALTO"))</f>
        <v>MEDIO</v>
      </c>
      <c r="C198" s="18" t="s">
        <v>8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</row>
    <row r="199" spans="1:21" ht="15.75" customHeight="1" x14ac:dyDescent="0.25">
      <c r="A199" s="16">
        <f>IF($A$3='[1]Base de datos '!$K$5,'[1]Base de datos '!C197,IF($A$3='[1]Base de datos '!$K$6,'[1]Base de datos '!D197,IF($A$3='[1]Base de datos '!$K$7,'[1]Base de datos '!E197,IF($A$3='[1]Base de datos '!$K$8,'[1]Base de datos '!F197,IF($A$3='[1]Base de datos '!$K$9,'[1]Base de datos '!G197)))))</f>
        <v>445</v>
      </c>
      <c r="B199" s="17" t="str">
        <f t="shared" si="4"/>
        <v>MEDIO</v>
      </c>
      <c r="C199" s="18" t="s">
        <v>14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</row>
    <row r="200" spans="1:21" ht="15.75" customHeight="1" x14ac:dyDescent="0.25">
      <c r="A200" s="16">
        <f>IF($A$3='[1]Base de datos '!$K$5,'[1]Base de datos '!C198,IF($A$3='[1]Base de datos '!$K$6,'[1]Base de datos '!D198,IF($A$3='[1]Base de datos '!$K$7,'[1]Base de datos '!E198,IF($A$3='[1]Base de datos '!$K$8,'[1]Base de datos '!F198,IF($A$3='[1]Base de datos '!$K$9,'[1]Base de datos '!G198)))))</f>
        <v>874</v>
      </c>
      <c r="B200" s="17" t="str">
        <f t="shared" si="4"/>
        <v>ALTO</v>
      </c>
      <c r="C200" s="18" t="s">
        <v>17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</row>
    <row r="201" spans="1:21" ht="15.75" customHeight="1" x14ac:dyDescent="0.25">
      <c r="A201" s="16">
        <f>IF($A$3='[1]Base de datos '!$K$5,'[1]Base de datos '!C199,IF($A$3='[1]Base de datos '!$K$6,'[1]Base de datos '!D199,IF($A$3='[1]Base de datos '!$K$7,'[1]Base de datos '!E199,IF($A$3='[1]Base de datos '!$K$8,'[1]Base de datos '!F199,IF($A$3='[1]Base de datos '!$K$9,'[1]Base de datos '!G199)))))</f>
        <v>808</v>
      </c>
      <c r="B201" s="17" t="str">
        <f t="shared" si="4"/>
        <v>ALTO</v>
      </c>
      <c r="C201" s="18" t="s">
        <v>18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</row>
    <row r="202" spans="1:21" ht="15.75" customHeight="1" x14ac:dyDescent="0.25">
      <c r="A202" s="16">
        <f>IF($A$3='[1]Base de datos '!$K$5,'[1]Base de datos '!C200,IF($A$3='[1]Base de datos '!$K$6,'[1]Base de datos '!D200,IF($A$3='[1]Base de datos '!$K$7,'[1]Base de datos '!E200,IF($A$3='[1]Base de datos '!$K$8,'[1]Base de datos '!F200,IF($A$3='[1]Base de datos '!$K$9,'[1]Base de datos '!G200)))))</f>
        <v>486</v>
      </c>
      <c r="B202" s="17" t="str">
        <f t="shared" si="4"/>
        <v>MEDIO</v>
      </c>
      <c r="C202" s="18" t="s">
        <v>14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</row>
    <row r="203" spans="1:21" ht="15.75" customHeight="1" x14ac:dyDescent="0.25">
      <c r="A203" s="16">
        <f>IF($A$3='[1]Base de datos '!$K$5,'[1]Base de datos '!C201,IF($A$3='[1]Base de datos '!$K$6,'[1]Base de datos '!D201,IF($A$3='[1]Base de datos '!$K$7,'[1]Base de datos '!E201,IF($A$3='[1]Base de datos '!$K$8,'[1]Base de datos '!F201,IF($A$3='[1]Base de datos '!$K$9,'[1]Base de datos '!G201)))))</f>
        <v>826</v>
      </c>
      <c r="B203" s="17" t="str">
        <f t="shared" si="4"/>
        <v>ALTO</v>
      </c>
      <c r="C203" s="18" t="s">
        <v>18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</row>
    <row r="204" spans="1:21" ht="15.75" customHeight="1" x14ac:dyDescent="0.25">
      <c r="A204" s="16">
        <f>IF($A$3='[1]Base de datos '!$K$5,'[1]Base de datos '!C202,IF($A$3='[1]Base de datos '!$K$6,'[1]Base de datos '!D202,IF($A$3='[1]Base de datos '!$K$7,'[1]Base de datos '!E202,IF($A$3='[1]Base de datos '!$K$8,'[1]Base de datos '!F202,IF($A$3='[1]Base de datos '!$K$9,'[1]Base de datos '!G202)))))</f>
        <v>927</v>
      </c>
      <c r="B204" s="17" t="str">
        <f t="shared" si="4"/>
        <v>ALTO</v>
      </c>
      <c r="C204" s="18" t="s">
        <v>8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</row>
    <row r="205" spans="1:21" ht="15.75" customHeight="1" x14ac:dyDescent="0.25">
      <c r="A205" s="16">
        <f>IF($A$3='[1]Base de datos '!$K$5,'[1]Base de datos '!C203,IF($A$3='[1]Base de datos '!$K$6,'[1]Base de datos '!D203,IF($A$3='[1]Base de datos '!$K$7,'[1]Base de datos '!E203,IF($A$3='[1]Base de datos '!$K$8,'[1]Base de datos '!F203,IF($A$3='[1]Base de datos '!$K$9,'[1]Base de datos '!G203)))))</f>
        <v>528</v>
      </c>
      <c r="B205" s="17" t="str">
        <f t="shared" si="4"/>
        <v>MEDIO</v>
      </c>
      <c r="C205" s="18" t="s">
        <v>17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</row>
    <row r="206" spans="1:21" ht="15.75" customHeight="1" x14ac:dyDescent="0.25">
      <c r="A206" s="16">
        <f>IF($A$3='[1]Base de datos '!$K$5,'[1]Base de datos '!C204,IF($A$3='[1]Base de datos '!$K$6,'[1]Base de datos '!D204,IF($A$3='[1]Base de datos '!$K$7,'[1]Base de datos '!E204,IF($A$3='[1]Base de datos '!$K$8,'[1]Base de datos '!F204,IF($A$3='[1]Base de datos '!$K$9,'[1]Base de datos '!G204)))))</f>
        <v>900</v>
      </c>
      <c r="B206" s="17" t="str">
        <f t="shared" si="4"/>
        <v>ALTO</v>
      </c>
      <c r="C206" s="18" t="s">
        <v>19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</row>
    <row r="207" spans="1:21" ht="15.75" customHeight="1" x14ac:dyDescent="0.25">
      <c r="A207" s="16">
        <f>IF($A$3='[1]Base de datos '!$K$5,'[1]Base de datos '!C205,IF($A$3='[1]Base de datos '!$K$6,'[1]Base de datos '!D205,IF($A$3='[1]Base de datos '!$K$7,'[1]Base de datos '!E205,IF($A$3='[1]Base de datos '!$K$8,'[1]Base de datos '!F205,IF($A$3='[1]Base de datos '!$K$9,'[1]Base de datos '!G205)))))</f>
        <v>503</v>
      </c>
      <c r="B207" s="17" t="str">
        <f t="shared" si="4"/>
        <v>MEDIO</v>
      </c>
      <c r="C207" s="18" t="s">
        <v>19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</row>
    <row r="208" spans="1:21" ht="15.75" customHeight="1" x14ac:dyDescent="0.25">
      <c r="A208" s="16">
        <f>IF($A$3='[1]Base de datos '!$K$5,'[1]Base de datos '!C206,IF($A$3='[1]Base de datos '!$K$6,'[1]Base de datos '!D206,IF($A$3='[1]Base de datos '!$K$7,'[1]Base de datos '!E206,IF($A$3='[1]Base de datos '!$K$8,'[1]Base de datos '!F206,IF($A$3='[1]Base de datos '!$K$9,'[1]Base de datos '!G206)))))</f>
        <v>514</v>
      </c>
      <c r="B208" s="17" t="str">
        <f t="shared" si="4"/>
        <v>MEDIO</v>
      </c>
      <c r="C208" s="18" t="s">
        <v>11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</row>
    <row r="209" spans="1:21" ht="15.75" customHeight="1" x14ac:dyDescent="0.25">
      <c r="A209" s="16">
        <f>IF($A$3='[1]Base de datos '!$K$5,'[1]Base de datos '!C207,IF($A$3='[1]Base de datos '!$K$6,'[1]Base de datos '!D207,IF($A$3='[1]Base de datos '!$K$7,'[1]Base de datos '!E207,IF($A$3='[1]Base de datos '!$K$8,'[1]Base de datos '!F207,IF($A$3='[1]Base de datos '!$K$9,'[1]Base de datos '!G207)))))</f>
        <v>570</v>
      </c>
      <c r="B209" s="17" t="str">
        <f t="shared" si="4"/>
        <v>MEDIO</v>
      </c>
      <c r="C209" s="18" t="s">
        <v>8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</row>
    <row r="210" spans="1:21" ht="15.75" customHeight="1" x14ac:dyDescent="0.25">
      <c r="A210" s="16">
        <f>IF($A$3='[1]Base de datos '!$K$5,'[1]Base de datos '!C208,IF($A$3='[1]Base de datos '!$K$6,'[1]Base de datos '!D208,IF($A$3='[1]Base de datos '!$K$7,'[1]Base de datos '!E208,IF($A$3='[1]Base de datos '!$K$8,'[1]Base de datos '!F208,IF($A$3='[1]Base de datos '!$K$9,'[1]Base de datos '!G208)))))</f>
        <v>677</v>
      </c>
      <c r="B210" s="17" t="str">
        <f t="shared" si="4"/>
        <v>ALTO</v>
      </c>
      <c r="C210" s="18" t="s">
        <v>8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</row>
    <row r="211" spans="1:21" ht="15.75" customHeight="1" x14ac:dyDescent="0.25">
      <c r="A211" s="16">
        <f>IF($A$3='[1]Base de datos '!$K$5,'[1]Base de datos '!C209,IF($A$3='[1]Base de datos '!$K$6,'[1]Base de datos '!D209,IF($A$3='[1]Base de datos '!$K$7,'[1]Base de datos '!E209,IF($A$3='[1]Base de datos '!$K$8,'[1]Base de datos '!F209,IF($A$3='[1]Base de datos '!$K$9,'[1]Base de datos '!G209)))))</f>
        <v>87</v>
      </c>
      <c r="B211" s="17" t="str">
        <f t="shared" si="4"/>
        <v>BAJO</v>
      </c>
      <c r="C211" s="18" t="s">
        <v>14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</row>
    <row r="212" spans="1:21" ht="15.75" customHeight="1" x14ac:dyDescent="0.25">
      <c r="A212" s="16">
        <f>IF($A$3='[1]Base de datos '!$K$5,'[1]Base de datos '!C210,IF($A$3='[1]Base de datos '!$K$6,'[1]Base de datos '!D210,IF($A$3='[1]Base de datos '!$K$7,'[1]Base de datos '!E210,IF($A$3='[1]Base de datos '!$K$8,'[1]Base de datos '!F210,IF($A$3='[1]Base de datos '!$K$9,'[1]Base de datos '!G210)))))</f>
        <v>337</v>
      </c>
      <c r="B212" s="17" t="str">
        <f t="shared" si="4"/>
        <v>MEDIO</v>
      </c>
      <c r="C212" s="18" t="s">
        <v>6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</row>
    <row r="213" spans="1:21" ht="15.75" customHeight="1" x14ac:dyDescent="0.25">
      <c r="A213" s="16">
        <f>IF($A$3='[1]Base de datos '!$K$5,'[1]Base de datos '!C211,IF($A$3='[1]Base de datos '!$K$6,'[1]Base de datos '!D211,IF($A$3='[1]Base de datos '!$K$7,'[1]Base de datos '!E211,IF($A$3='[1]Base de datos '!$K$8,'[1]Base de datos '!F211,IF($A$3='[1]Base de datos '!$K$9,'[1]Base de datos '!G211)))))</f>
        <v>15</v>
      </c>
      <c r="B213" s="17" t="str">
        <f t="shared" si="4"/>
        <v>BAJO</v>
      </c>
      <c r="C213" s="18" t="s">
        <v>8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</row>
    <row r="214" spans="1:21" ht="15.75" customHeight="1" x14ac:dyDescent="0.25">
      <c r="A214" s="16">
        <f>IF($A$3='[1]Base de datos '!$K$5,'[1]Base de datos '!C212,IF($A$3='[1]Base de datos '!$K$6,'[1]Base de datos '!D212,IF($A$3='[1]Base de datos '!$K$7,'[1]Base de datos '!E212,IF($A$3='[1]Base de datos '!$K$8,'[1]Base de datos '!F212,IF($A$3='[1]Base de datos '!$K$9,'[1]Base de datos '!G212)))))</f>
        <v>759</v>
      </c>
      <c r="B214" s="17" t="str">
        <f t="shared" si="4"/>
        <v>ALTO</v>
      </c>
      <c r="C214" s="18" t="s">
        <v>11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</row>
    <row r="215" spans="1:21" ht="15.75" customHeight="1" x14ac:dyDescent="0.25">
      <c r="A215" s="16">
        <f>IF($A$3='[1]Base de datos '!$K$5,'[1]Base de datos '!C213,IF($A$3='[1]Base de datos '!$K$6,'[1]Base de datos '!D213,IF($A$3='[1]Base de datos '!$K$7,'[1]Base de datos '!E213,IF($A$3='[1]Base de datos '!$K$8,'[1]Base de datos '!F213,IF($A$3='[1]Base de datos '!$K$9,'[1]Base de datos '!G213)))))</f>
        <v>917</v>
      </c>
      <c r="B215" s="17" t="str">
        <f t="shared" si="4"/>
        <v>ALTO</v>
      </c>
      <c r="C215" s="18" t="s">
        <v>6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</row>
    <row r="216" spans="1:21" ht="15.75" customHeight="1" x14ac:dyDescent="0.25">
      <c r="A216" s="16">
        <f>IF($A$3='[1]Base de datos '!$K$5,'[1]Base de datos '!C214,IF($A$3='[1]Base de datos '!$K$6,'[1]Base de datos '!D214,IF($A$3='[1]Base de datos '!$K$7,'[1]Base de datos '!E214,IF($A$3='[1]Base de datos '!$K$8,'[1]Base de datos '!F214,IF($A$3='[1]Base de datos '!$K$9,'[1]Base de datos '!G214)))))</f>
        <v>965</v>
      </c>
      <c r="B216" s="17" t="str">
        <f t="shared" si="4"/>
        <v>ALTO</v>
      </c>
      <c r="C216" s="18" t="s">
        <v>6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</row>
    <row r="217" spans="1:21" ht="15.75" customHeight="1" x14ac:dyDescent="0.25">
      <c r="A217" s="16">
        <f>IF($A$3='[1]Base de datos '!$K$5,'[1]Base de datos '!C215,IF($A$3='[1]Base de datos '!$K$6,'[1]Base de datos '!D215,IF($A$3='[1]Base de datos '!$K$7,'[1]Base de datos '!E215,IF($A$3='[1]Base de datos '!$K$8,'[1]Base de datos '!F215,IF($A$3='[1]Base de datos '!$K$9,'[1]Base de datos '!G215)))))</f>
        <v>109</v>
      </c>
      <c r="B217" s="17" t="str">
        <f t="shared" si="4"/>
        <v>BAJO</v>
      </c>
      <c r="C217" s="18" t="s">
        <v>6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</row>
    <row r="218" spans="1:21" ht="15.75" customHeight="1" x14ac:dyDescent="0.25">
      <c r="A218" s="16">
        <f>IF($A$3='[1]Base de datos '!$K$5,'[1]Base de datos '!C216,IF($A$3='[1]Base de datos '!$K$6,'[1]Base de datos '!D216,IF($A$3='[1]Base de datos '!$K$7,'[1]Base de datos '!E216,IF($A$3='[1]Base de datos '!$K$8,'[1]Base de datos '!F216,IF($A$3='[1]Base de datos '!$K$9,'[1]Base de datos '!G216)))))</f>
        <v>613</v>
      </c>
      <c r="B218" s="17" t="str">
        <f t="shared" si="4"/>
        <v>MEDIO</v>
      </c>
      <c r="C218" s="18" t="s">
        <v>19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</row>
    <row r="219" spans="1:21" ht="15.75" customHeight="1" x14ac:dyDescent="0.25">
      <c r="A219" s="16">
        <f>IF($A$3='[1]Base de datos '!$K$5,'[1]Base de datos '!C217,IF($A$3='[1]Base de datos '!$K$6,'[1]Base de datos '!D217,IF($A$3='[1]Base de datos '!$K$7,'[1]Base de datos '!E217,IF($A$3='[1]Base de datos '!$K$8,'[1]Base de datos '!F217,IF($A$3='[1]Base de datos '!$K$9,'[1]Base de datos '!G217)))))</f>
        <v>304</v>
      </c>
      <c r="B219" s="17" t="str">
        <f t="shared" si="4"/>
        <v>BAJO</v>
      </c>
      <c r="C219" s="18" t="s">
        <v>18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</row>
    <row r="220" spans="1:21" ht="15.75" customHeight="1" x14ac:dyDescent="0.25">
      <c r="A220" s="16">
        <f>IF($A$3='[1]Base de datos '!$K$5,'[1]Base de datos '!C218,IF($A$3='[1]Base de datos '!$K$6,'[1]Base de datos '!D218,IF($A$3='[1]Base de datos '!$K$7,'[1]Base de datos '!E218,IF($A$3='[1]Base de datos '!$K$8,'[1]Base de datos '!F218,IF($A$3='[1]Base de datos '!$K$9,'[1]Base de datos '!G218)))))</f>
        <v>262</v>
      </c>
      <c r="B220" s="17" t="str">
        <f t="shared" si="4"/>
        <v>BAJO</v>
      </c>
      <c r="C220" s="18" t="s">
        <v>14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</row>
    <row r="221" spans="1:21" ht="15.75" customHeight="1" x14ac:dyDescent="0.25">
      <c r="A221" s="16">
        <f>IF($A$3='[1]Base de datos '!$K$5,'[1]Base de datos '!C219,IF($A$3='[1]Base de datos '!$K$6,'[1]Base de datos '!D219,IF($A$3='[1]Base de datos '!$K$7,'[1]Base de datos '!E219,IF($A$3='[1]Base de datos '!$K$8,'[1]Base de datos '!F219,IF($A$3='[1]Base de datos '!$K$9,'[1]Base de datos '!G219)))))</f>
        <v>457</v>
      </c>
      <c r="B221" s="17" t="str">
        <f t="shared" si="4"/>
        <v>MEDIO</v>
      </c>
      <c r="C221" s="18" t="s">
        <v>17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</row>
    <row r="222" spans="1:21" ht="15.75" customHeight="1" x14ac:dyDescent="0.25">
      <c r="A222" s="16">
        <f>IF($A$3='[1]Base de datos '!$K$5,'[1]Base de datos '!C220,IF($A$3='[1]Base de datos '!$K$6,'[1]Base de datos '!D220,IF($A$3='[1]Base de datos '!$K$7,'[1]Base de datos '!E220,IF($A$3='[1]Base de datos '!$K$8,'[1]Base de datos '!F220,IF($A$3='[1]Base de datos '!$K$9,'[1]Base de datos '!G220)))))</f>
        <v>275</v>
      </c>
      <c r="B222" s="17" t="str">
        <f t="shared" si="4"/>
        <v>BAJO</v>
      </c>
      <c r="C222" s="18" t="s">
        <v>19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</row>
    <row r="223" spans="1:21" ht="15.75" customHeight="1" x14ac:dyDescent="0.25">
      <c r="A223" s="16">
        <f>IF($A$3='[1]Base de datos '!$K$5,'[1]Base de datos '!C221,IF($A$3='[1]Base de datos '!$K$6,'[1]Base de datos '!D221,IF($A$3='[1]Base de datos '!$K$7,'[1]Base de datos '!E221,IF($A$3='[1]Base de datos '!$K$8,'[1]Base de datos '!F221,IF($A$3='[1]Base de datos '!$K$9,'[1]Base de datos '!G221)))))</f>
        <v>1111</v>
      </c>
      <c r="B223" s="17" t="str">
        <f t="shared" si="4"/>
        <v>ALTO</v>
      </c>
      <c r="C223" s="18" t="s">
        <v>11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</row>
    <row r="224" spans="1:21" ht="15.75" customHeight="1" x14ac:dyDescent="0.25">
      <c r="A224" s="16">
        <f>IF($A$3='[1]Base de datos '!$K$5,'[1]Base de datos '!C222,IF($A$3='[1]Base de datos '!$K$6,'[1]Base de datos '!D222,IF($A$3='[1]Base de datos '!$K$7,'[1]Base de datos '!E222,IF($A$3='[1]Base de datos '!$K$8,'[1]Base de datos '!F222,IF($A$3='[1]Base de datos '!$K$9,'[1]Base de datos '!G222)))))</f>
        <v>229</v>
      </c>
      <c r="B224" s="17" t="str">
        <f t="shared" si="4"/>
        <v>BAJO</v>
      </c>
      <c r="C224" s="18" t="s">
        <v>6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</row>
    <row r="225" spans="1:21" ht="15.75" customHeight="1" x14ac:dyDescent="0.25">
      <c r="A225" s="16">
        <f>IF($A$3='[1]Base de datos '!$K$5,'[1]Base de datos '!C223,IF($A$3='[1]Base de datos '!$K$6,'[1]Base de datos '!D223,IF($A$3='[1]Base de datos '!$K$7,'[1]Base de datos '!E223,IF($A$3='[1]Base de datos '!$K$8,'[1]Base de datos '!F223,IF($A$3='[1]Base de datos '!$K$9,'[1]Base de datos '!G223)))))</f>
        <v>351</v>
      </c>
      <c r="B225" s="17" t="str">
        <f t="shared" si="4"/>
        <v>MEDIO</v>
      </c>
      <c r="C225" s="18" t="s">
        <v>19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</row>
    <row r="226" spans="1:21" ht="15.75" customHeight="1" x14ac:dyDescent="0.25">
      <c r="A226" s="16">
        <f>IF($A$3='[1]Base de datos '!$K$5,'[1]Base de datos '!C224,IF($A$3='[1]Base de datos '!$K$6,'[1]Base de datos '!D224,IF($A$3='[1]Base de datos '!$K$7,'[1]Base de datos '!E224,IF($A$3='[1]Base de datos '!$K$8,'[1]Base de datos '!F224,IF($A$3='[1]Base de datos '!$K$9,'[1]Base de datos '!G224)))))</f>
        <v>555</v>
      </c>
      <c r="B226" s="17" t="str">
        <f t="shared" si="4"/>
        <v>MEDIO</v>
      </c>
      <c r="C226" s="18" t="s">
        <v>18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</row>
    <row r="227" spans="1:21" ht="15.75" customHeight="1" x14ac:dyDescent="0.25">
      <c r="A227" s="16">
        <f>IF($A$3='[1]Base de datos '!$K$5,'[1]Base de datos '!C225,IF($A$3='[1]Base de datos '!$K$6,'[1]Base de datos '!D225,IF($A$3='[1]Base de datos '!$K$7,'[1]Base de datos '!E225,IF($A$3='[1]Base de datos '!$K$8,'[1]Base de datos '!F225,IF($A$3='[1]Base de datos '!$K$9,'[1]Base de datos '!G225)))))</f>
        <v>611</v>
      </c>
      <c r="B227" s="17" t="str">
        <f t="shared" si="4"/>
        <v>MEDIO</v>
      </c>
      <c r="C227" s="18" t="s">
        <v>11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</row>
    <row r="228" spans="1:21" ht="15.75" customHeight="1" x14ac:dyDescent="0.25">
      <c r="A228" s="16">
        <f>IF($A$3='[1]Base de datos '!$K$5,'[1]Base de datos '!C226,IF($A$3='[1]Base de datos '!$K$6,'[1]Base de datos '!D226,IF($A$3='[1]Base de datos '!$K$7,'[1]Base de datos '!E226,IF($A$3='[1]Base de datos '!$K$8,'[1]Base de datos '!F226,IF($A$3='[1]Base de datos '!$K$9,'[1]Base de datos '!G226)))))</f>
        <v>604</v>
      </c>
      <c r="B228" s="17" t="str">
        <f t="shared" si="4"/>
        <v>MEDIO</v>
      </c>
      <c r="C228" s="18" t="s">
        <v>14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</row>
    <row r="229" spans="1:21" ht="15.75" customHeight="1" x14ac:dyDescent="0.25">
      <c r="A229" s="16">
        <f>IF($A$3='[1]Base de datos '!$K$5,'[1]Base de datos '!C227,IF($A$3='[1]Base de datos '!$K$6,'[1]Base de datos '!D227,IF($A$3='[1]Base de datos '!$K$7,'[1]Base de datos '!E227,IF($A$3='[1]Base de datos '!$K$8,'[1]Base de datos '!F227,IF($A$3='[1]Base de datos '!$K$9,'[1]Base de datos '!G227)))))</f>
        <v>300</v>
      </c>
      <c r="B229" s="17" t="str">
        <f t="shared" si="4"/>
        <v>BAJO</v>
      </c>
      <c r="C229" s="18" t="s">
        <v>11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</row>
    <row r="230" spans="1:21" ht="15.75" customHeight="1" x14ac:dyDescent="0.25">
      <c r="A230" s="16">
        <f>IF($A$3='[1]Base de datos '!$K$5,'[1]Base de datos '!C228,IF($A$3='[1]Base de datos '!$K$6,'[1]Base de datos '!D228,IF($A$3='[1]Base de datos '!$K$7,'[1]Base de datos '!E228,IF($A$3='[1]Base de datos '!$K$8,'[1]Base de datos '!F228,IF($A$3='[1]Base de datos '!$K$9,'[1]Base de datos '!G228)))))</f>
        <v>658</v>
      </c>
      <c r="B230" s="17" t="str">
        <f t="shared" si="4"/>
        <v>ALTO</v>
      </c>
      <c r="C230" s="18" t="s">
        <v>8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</row>
    <row r="231" spans="1:21" ht="15.75" customHeight="1" x14ac:dyDescent="0.25">
      <c r="A231" s="16">
        <f>IF($A$3='[1]Base de datos '!$K$5,'[1]Base de datos '!C229,IF($A$3='[1]Base de datos '!$K$6,'[1]Base de datos '!D229,IF($A$3='[1]Base de datos '!$K$7,'[1]Base de datos '!E229,IF($A$3='[1]Base de datos '!$K$8,'[1]Base de datos '!F229,IF($A$3='[1]Base de datos '!$K$9,'[1]Base de datos '!G229)))))</f>
        <v>666</v>
      </c>
      <c r="B231" s="17" t="str">
        <f t="shared" si="4"/>
        <v>ALTO</v>
      </c>
      <c r="C231" s="18" t="s">
        <v>11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</row>
    <row r="232" spans="1:21" ht="15.75" customHeight="1" x14ac:dyDescent="0.25">
      <c r="A232" s="16">
        <f>IF($A$3='[1]Base de datos '!$K$5,'[1]Base de datos '!C230,IF($A$3='[1]Base de datos '!$K$6,'[1]Base de datos '!D230,IF($A$3='[1]Base de datos '!$K$7,'[1]Base de datos '!E230,IF($A$3='[1]Base de datos '!$K$8,'[1]Base de datos '!F230,IF($A$3='[1]Base de datos '!$K$9,'[1]Base de datos '!G230)))))</f>
        <v>774</v>
      </c>
      <c r="B232" s="17" t="str">
        <f t="shared" si="4"/>
        <v>ALTO</v>
      </c>
      <c r="C232" s="18" t="s">
        <v>18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</row>
    <row r="233" spans="1:21" ht="15.75" customHeight="1" x14ac:dyDescent="0.25">
      <c r="A233" s="16">
        <f>IF($A$3='[1]Base de datos '!$K$5,'[1]Base de datos '!C231,IF($A$3='[1]Base de datos '!$K$6,'[1]Base de datos '!D231,IF($A$3='[1]Base de datos '!$K$7,'[1]Base de datos '!E231,IF($A$3='[1]Base de datos '!$K$8,'[1]Base de datos '!F231,IF($A$3='[1]Base de datos '!$K$9,'[1]Base de datos '!G231)))))</f>
        <v>553</v>
      </c>
      <c r="B233" s="17" t="str">
        <f t="shared" si="4"/>
        <v>MEDIO</v>
      </c>
      <c r="C233" s="18" t="s">
        <v>17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</row>
    <row r="234" spans="1:21" ht="15.75" customHeight="1" x14ac:dyDescent="0.25">
      <c r="A234" s="16">
        <f>IF($A$3='[1]Base de datos '!$K$5,'[1]Base de datos '!C232,IF($A$3='[1]Base de datos '!$K$6,'[1]Base de datos '!D232,IF($A$3='[1]Base de datos '!$K$7,'[1]Base de datos '!E232,IF($A$3='[1]Base de datos '!$K$8,'[1]Base de datos '!F232,IF($A$3='[1]Base de datos '!$K$9,'[1]Base de datos '!G232)))))</f>
        <v>835</v>
      </c>
      <c r="B234" s="17" t="str">
        <f t="shared" si="4"/>
        <v>ALTO</v>
      </c>
      <c r="C234" s="18" t="s">
        <v>19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</row>
    <row r="235" spans="1:21" ht="15.75" customHeight="1" x14ac:dyDescent="0.25">
      <c r="A235" s="16">
        <f>IF($A$3='[1]Base de datos '!$K$5,'[1]Base de datos '!C233,IF($A$3='[1]Base de datos '!$K$6,'[1]Base de datos '!D233,IF($A$3='[1]Base de datos '!$K$7,'[1]Base de datos '!E233,IF($A$3='[1]Base de datos '!$K$8,'[1]Base de datos '!F233,IF($A$3='[1]Base de datos '!$K$9,'[1]Base de datos '!G233)))))</f>
        <v>238</v>
      </c>
      <c r="B235" s="17" t="str">
        <f t="shared" si="4"/>
        <v>BAJO</v>
      </c>
      <c r="C235" s="18" t="s">
        <v>11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</row>
    <row r="236" spans="1:21" ht="15.75" customHeight="1" x14ac:dyDescent="0.25">
      <c r="A236" s="16">
        <f>IF($A$3='[1]Base de datos '!$K$5,'[1]Base de datos '!C234,IF($A$3='[1]Base de datos '!$K$6,'[1]Base de datos '!D234,IF($A$3='[1]Base de datos '!$K$7,'[1]Base de datos '!E234,IF($A$3='[1]Base de datos '!$K$8,'[1]Base de datos '!F234,IF($A$3='[1]Base de datos '!$K$9,'[1]Base de datos '!G234)))))</f>
        <v>924</v>
      </c>
      <c r="B236" s="17" t="str">
        <f t="shared" si="4"/>
        <v>ALTO</v>
      </c>
      <c r="C236" s="18" t="s">
        <v>6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</row>
    <row r="237" spans="1:21" ht="15.75" customHeight="1" x14ac:dyDescent="0.25">
      <c r="A237" s="16">
        <f>IF($A$3='[1]Base de datos '!$K$5,'[1]Base de datos '!C235,IF($A$3='[1]Base de datos '!$K$6,'[1]Base de datos '!D235,IF($A$3='[1]Base de datos '!$K$7,'[1]Base de datos '!E235,IF($A$3='[1]Base de datos '!$K$8,'[1]Base de datos '!F235,IF($A$3='[1]Base de datos '!$K$9,'[1]Base de datos '!G235)))))</f>
        <v>810</v>
      </c>
      <c r="B237" s="17" t="str">
        <f t="shared" si="4"/>
        <v>ALTO</v>
      </c>
      <c r="C237" s="18" t="s">
        <v>8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</row>
    <row r="238" spans="1:21" ht="15.75" customHeight="1" x14ac:dyDescent="0.25">
      <c r="A238" s="16">
        <f>IF($A$3='[1]Base de datos '!$K$5,'[1]Base de datos '!C236,IF($A$3='[1]Base de datos '!$K$6,'[1]Base de datos '!D236,IF($A$3='[1]Base de datos '!$K$7,'[1]Base de datos '!E236,IF($A$3='[1]Base de datos '!$K$8,'[1]Base de datos '!F236,IF($A$3='[1]Base de datos '!$K$9,'[1]Base de datos '!G236)))))</f>
        <v>679</v>
      </c>
      <c r="B238" s="17" t="str">
        <f t="shared" si="4"/>
        <v>ALTO</v>
      </c>
      <c r="C238" s="18" t="s">
        <v>14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</row>
    <row r="239" spans="1:21" ht="15.75" customHeight="1" x14ac:dyDescent="0.25">
      <c r="A239" s="16">
        <f>IF($A$3='[1]Base de datos '!$K$5,'[1]Base de datos '!C237,IF($A$3='[1]Base de datos '!$K$6,'[1]Base de datos '!D237,IF($A$3='[1]Base de datos '!$K$7,'[1]Base de datos '!E237,IF($A$3='[1]Base de datos '!$K$8,'[1]Base de datos '!F237,IF($A$3='[1]Base de datos '!$K$9,'[1]Base de datos '!G237)))))</f>
        <v>714</v>
      </c>
      <c r="B239" s="17" t="str">
        <f t="shared" si="4"/>
        <v>ALTO</v>
      </c>
      <c r="C239" s="18" t="s">
        <v>19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</row>
    <row r="240" spans="1:21" ht="15.75" customHeight="1" x14ac:dyDescent="0.25">
      <c r="A240" s="16">
        <f>IF($A$3='[1]Base de datos '!$K$5,'[1]Base de datos '!C238,IF($A$3='[1]Base de datos '!$K$6,'[1]Base de datos '!D238,IF($A$3='[1]Base de datos '!$K$7,'[1]Base de datos '!E238,IF($A$3='[1]Base de datos '!$K$8,'[1]Base de datos '!F238,IF($A$3='[1]Base de datos '!$K$9,'[1]Base de datos '!G238)))))</f>
        <v>841</v>
      </c>
      <c r="B240" s="17" t="str">
        <f t="shared" si="4"/>
        <v>ALTO</v>
      </c>
      <c r="C240" s="18" t="s">
        <v>18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</row>
    <row r="241" spans="1:21" ht="15.75" customHeight="1" x14ac:dyDescent="0.25">
      <c r="A241" s="16">
        <f>IF($A$3='[1]Base de datos '!$K$5,'[1]Base de datos '!C239,IF($A$3='[1]Base de datos '!$K$6,'[1]Base de datos '!D239,IF($A$3='[1]Base de datos '!$K$7,'[1]Base de datos '!E239,IF($A$3='[1]Base de datos '!$K$8,'[1]Base de datos '!F239,IF($A$3='[1]Base de datos '!$K$9,'[1]Base de datos '!G239)))))</f>
        <v>811</v>
      </c>
      <c r="B241" s="17" t="str">
        <f t="shared" si="4"/>
        <v>ALTO</v>
      </c>
      <c r="C241" s="18" t="s">
        <v>8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</row>
    <row r="242" spans="1:21" ht="15.75" customHeight="1" x14ac:dyDescent="0.25">
      <c r="A242" s="16">
        <f>IF($A$3='[1]Base de datos '!$K$5,'[1]Base de datos '!C240,IF($A$3='[1]Base de datos '!$K$6,'[1]Base de datos '!D240,IF($A$3='[1]Base de datos '!$K$7,'[1]Base de datos '!E240,IF($A$3='[1]Base de datos '!$K$8,'[1]Base de datos '!F240,IF($A$3='[1]Base de datos '!$K$9,'[1]Base de datos '!G240)))))</f>
        <v>337</v>
      </c>
      <c r="B242" s="17" t="str">
        <f t="shared" si="4"/>
        <v>MEDIO</v>
      </c>
      <c r="C242" s="18" t="s">
        <v>6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</row>
    <row r="243" spans="1:21" ht="15.75" customHeight="1" x14ac:dyDescent="0.25">
      <c r="A243" s="16">
        <f>IF($A$3='[1]Base de datos '!$K$5,'[1]Base de datos '!C241,IF($A$3='[1]Base de datos '!$K$6,'[1]Base de datos '!D241,IF($A$3='[1]Base de datos '!$K$7,'[1]Base de datos '!E241,IF($A$3='[1]Base de datos '!$K$8,'[1]Base de datos '!F241,IF($A$3='[1]Base de datos '!$K$9,'[1]Base de datos '!G241)))))</f>
        <v>875</v>
      </c>
      <c r="B243" s="17" t="str">
        <f t="shared" si="4"/>
        <v>ALTO</v>
      </c>
      <c r="C243" s="18" t="s">
        <v>19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</row>
    <row r="244" spans="1:21" ht="15.75" customHeight="1" x14ac:dyDescent="0.25">
      <c r="A244" s="16">
        <f>IF($A$3='[1]Base de datos '!$K$5,'[1]Base de datos '!C242,IF($A$3='[1]Base de datos '!$K$6,'[1]Base de datos '!D242,IF($A$3='[1]Base de datos '!$K$7,'[1]Base de datos '!E242,IF($A$3='[1]Base de datos '!$K$8,'[1]Base de datos '!F242,IF($A$3='[1]Base de datos '!$K$9,'[1]Base de datos '!G242)))))</f>
        <v>653</v>
      </c>
      <c r="B244" s="17" t="str">
        <f t="shared" si="4"/>
        <v>ALTO</v>
      </c>
      <c r="C244" s="18" t="s">
        <v>8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</row>
    <row r="245" spans="1:21" ht="15.75" customHeight="1" x14ac:dyDescent="0.25">
      <c r="A245" s="16">
        <f>IF($A$3='[1]Base de datos '!$K$5,'[1]Base de datos '!C243,IF($A$3='[1]Base de datos '!$K$6,'[1]Base de datos '!D243,IF($A$3='[1]Base de datos '!$K$7,'[1]Base de datos '!E243,IF($A$3='[1]Base de datos '!$K$8,'[1]Base de datos '!F243,IF($A$3='[1]Base de datos '!$K$9,'[1]Base de datos '!G243)))))</f>
        <v>889</v>
      </c>
      <c r="B245" s="17" t="str">
        <f t="shared" si="4"/>
        <v>ALTO</v>
      </c>
      <c r="C245" s="18" t="s">
        <v>8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</row>
    <row r="246" spans="1:21" ht="15.75" customHeight="1" x14ac:dyDescent="0.25">
      <c r="A246" s="16">
        <f>IF($A$3='[1]Base de datos '!$K$5,'[1]Base de datos '!C244,IF($A$3='[1]Base de datos '!$K$6,'[1]Base de datos '!D244,IF($A$3='[1]Base de datos '!$K$7,'[1]Base de datos '!E244,IF($A$3='[1]Base de datos '!$K$8,'[1]Base de datos '!F244,IF($A$3='[1]Base de datos '!$K$9,'[1]Base de datos '!G244)))))</f>
        <v>699</v>
      </c>
      <c r="B246" s="17" t="str">
        <f t="shared" si="4"/>
        <v>ALTO</v>
      </c>
      <c r="C246" s="18" t="s">
        <v>17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</row>
    <row r="247" spans="1:21" ht="15.75" customHeight="1" x14ac:dyDescent="0.25">
      <c r="A247" s="16">
        <f>IF($A$3='[1]Base de datos '!$K$5,'[1]Base de datos '!C245,IF($A$3='[1]Base de datos '!$K$6,'[1]Base de datos '!D245,IF($A$3='[1]Base de datos '!$K$7,'[1]Base de datos '!E245,IF($A$3='[1]Base de datos '!$K$8,'[1]Base de datos '!F245,IF($A$3='[1]Base de datos '!$K$9,'[1]Base de datos '!G245)))))</f>
        <v>352</v>
      </c>
      <c r="B247" s="17" t="str">
        <f t="shared" si="4"/>
        <v>MEDIO</v>
      </c>
      <c r="C247" s="18" t="s">
        <v>8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</row>
    <row r="248" spans="1:21" ht="15.75" customHeight="1" x14ac:dyDescent="0.25">
      <c r="A248" s="16">
        <f>IF($A$3='[1]Base de datos '!$K$5,'[1]Base de datos '!C246,IF($A$3='[1]Base de datos '!$K$6,'[1]Base de datos '!D246,IF($A$3='[1]Base de datos '!$K$7,'[1]Base de datos '!E246,IF($A$3='[1]Base de datos '!$K$8,'[1]Base de datos '!F246,IF($A$3='[1]Base de datos '!$K$9,'[1]Base de datos '!G246)))))</f>
        <v>325</v>
      </c>
      <c r="B248" s="17" t="str">
        <f t="shared" si="4"/>
        <v>MEDIO</v>
      </c>
      <c r="C248" s="18" t="s">
        <v>6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</row>
    <row r="249" spans="1:21" ht="15.75" customHeight="1" x14ac:dyDescent="0.25">
      <c r="A249" s="16">
        <f>IF($A$3='[1]Base de datos '!$K$5,'[1]Base de datos '!C247,IF($A$3='[1]Base de datos '!$K$6,'[1]Base de datos '!D247,IF($A$3='[1]Base de datos '!$K$7,'[1]Base de datos '!E247,IF($A$3='[1]Base de datos '!$K$8,'[1]Base de datos '!F247,IF($A$3='[1]Base de datos '!$K$9,'[1]Base de datos '!G247)))))</f>
        <v>706</v>
      </c>
      <c r="B249" s="17" t="str">
        <f t="shared" si="4"/>
        <v>ALTO</v>
      </c>
      <c r="C249" s="18" t="s">
        <v>14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</row>
    <row r="250" spans="1:21" ht="15.75" customHeight="1" x14ac:dyDescent="0.25">
      <c r="A250" s="16">
        <f>IF($A$3='[1]Base de datos '!$K$5,'[1]Base de datos '!C248,IF($A$3='[1]Base de datos '!$K$6,'[1]Base de datos '!D248,IF($A$3='[1]Base de datos '!$K$7,'[1]Base de datos '!E248,IF($A$3='[1]Base de datos '!$K$8,'[1]Base de datos '!F248,IF($A$3='[1]Base de datos '!$K$9,'[1]Base de datos '!G248)))))</f>
        <v>871</v>
      </c>
      <c r="B250" s="17" t="str">
        <f t="shared" si="4"/>
        <v>ALTO</v>
      </c>
      <c r="C250" s="18" t="s">
        <v>8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</row>
    <row r="251" spans="1:21" ht="15.75" customHeight="1" x14ac:dyDescent="0.25">
      <c r="A251" s="16">
        <f>IF($A$3='[1]Base de datos '!$K$5,'[1]Base de datos '!C249,IF($A$3='[1]Base de datos '!$K$6,'[1]Base de datos '!D249,IF($A$3='[1]Base de datos '!$K$7,'[1]Base de datos '!E249,IF($A$3='[1]Base de datos '!$K$8,'[1]Base de datos '!F249,IF($A$3='[1]Base de datos '!$K$9,'[1]Base de datos '!G249)))))</f>
        <v>226</v>
      </c>
      <c r="B251" s="17" t="str">
        <f t="shared" si="4"/>
        <v>BAJO</v>
      </c>
      <c r="C251" s="18" t="s">
        <v>19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</row>
    <row r="252" spans="1:21" ht="15.75" customHeight="1" x14ac:dyDescent="0.25">
      <c r="A252" s="16">
        <f>IF($A$3='[1]Base de datos '!$K$5,'[1]Base de datos '!C250,IF($A$3='[1]Base de datos '!$K$6,'[1]Base de datos '!D250,IF($A$3='[1]Base de datos '!$K$7,'[1]Base de datos '!E250,IF($A$3='[1]Base de datos '!$K$8,'[1]Base de datos '!F250,IF($A$3='[1]Base de datos '!$K$9,'[1]Base de datos '!G250)))))</f>
        <v>513</v>
      </c>
      <c r="B252" s="17" t="str">
        <f t="shared" si="4"/>
        <v>MEDIO</v>
      </c>
      <c r="C252" s="18" t="s">
        <v>11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</row>
    <row r="253" spans="1:21" ht="15.75" customHeight="1" x14ac:dyDescent="0.25">
      <c r="A253" s="16">
        <f>IF($A$3='[1]Base de datos '!$K$5,'[1]Base de datos '!C251,IF($A$3='[1]Base de datos '!$K$6,'[1]Base de datos '!D251,IF($A$3='[1]Base de datos '!$K$7,'[1]Base de datos '!E251,IF($A$3='[1]Base de datos '!$K$8,'[1]Base de datos '!F251,IF($A$3='[1]Base de datos '!$K$9,'[1]Base de datos '!G251)))))</f>
        <v>863</v>
      </c>
      <c r="B253" s="17" t="str">
        <f t="shared" si="4"/>
        <v>ALTO</v>
      </c>
      <c r="C253" s="18" t="s">
        <v>17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</row>
    <row r="254" spans="1:21" ht="15.75" customHeight="1" x14ac:dyDescent="0.25">
      <c r="A254" s="16">
        <f>IF($A$3='[1]Base de datos '!$K$5,'[1]Base de datos '!C252,IF($A$3='[1]Base de datos '!$K$6,'[1]Base de datos '!D252,IF($A$3='[1]Base de datos '!$K$7,'[1]Base de datos '!E252,IF($A$3='[1]Base de datos '!$K$8,'[1]Base de datos '!F252,IF($A$3='[1]Base de datos '!$K$9,'[1]Base de datos '!G252)))))</f>
        <v>508</v>
      </c>
      <c r="B254" s="17" t="str">
        <f t="shared" si="4"/>
        <v>MEDIO</v>
      </c>
      <c r="C254" s="18" t="s">
        <v>8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</row>
    <row r="255" spans="1:21" ht="15.75" customHeight="1" x14ac:dyDescent="0.25">
      <c r="A255" s="16">
        <f>IF($A$3='[1]Base de datos '!$K$5,'[1]Base de datos '!C253,IF($A$3='[1]Base de datos '!$K$6,'[1]Base de datos '!D253,IF($A$3='[1]Base de datos '!$K$7,'[1]Base de datos '!E253,IF($A$3='[1]Base de datos '!$K$8,'[1]Base de datos '!F253,IF($A$3='[1]Base de datos '!$K$9,'[1]Base de datos '!G253)))))</f>
        <v>1045</v>
      </c>
      <c r="B255" s="17" t="str">
        <f t="shared" si="4"/>
        <v>ALTO</v>
      </c>
      <c r="C255" s="18" t="s">
        <v>11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</row>
    <row r="256" spans="1:21" ht="15.75" customHeight="1" x14ac:dyDescent="0.25">
      <c r="A256" s="16">
        <f>IF($A$3='[1]Base de datos '!$K$5,'[1]Base de datos '!C254,IF($A$3='[1]Base de datos '!$K$6,'[1]Base de datos '!D254,IF($A$3='[1]Base de datos '!$K$7,'[1]Base de datos '!E254,IF($A$3='[1]Base de datos '!$K$8,'[1]Base de datos '!F254,IF($A$3='[1]Base de datos '!$K$9,'[1]Base de datos '!G254)))))</f>
        <v>767</v>
      </c>
      <c r="B256" s="17" t="str">
        <f t="shared" si="4"/>
        <v>ALTO</v>
      </c>
      <c r="C256" s="18" t="s">
        <v>17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</row>
    <row r="257" spans="1:21" ht="15.75" customHeight="1" x14ac:dyDescent="0.25">
      <c r="A257" s="16">
        <f>IF($A$3='[1]Base de datos '!$K$5,'[1]Base de datos '!C255,IF($A$3='[1]Base de datos '!$K$6,'[1]Base de datos '!D255,IF($A$3='[1]Base de datos '!$K$7,'[1]Base de datos '!E255,IF($A$3='[1]Base de datos '!$K$8,'[1]Base de datos '!F255,IF($A$3='[1]Base de datos '!$K$9,'[1]Base de datos '!G255)))))</f>
        <v>903</v>
      </c>
      <c r="B257" s="17" t="str">
        <f t="shared" si="4"/>
        <v>ALTO</v>
      </c>
      <c r="C257" s="18" t="s">
        <v>8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</row>
    <row r="258" spans="1:21" ht="15.75" customHeight="1" x14ac:dyDescent="0.25">
      <c r="A258" s="16">
        <f>IF($A$3='[1]Base de datos '!$K$5,'[1]Base de datos '!C256,IF($A$3='[1]Base de datos '!$K$6,'[1]Base de datos '!D256,IF($A$3='[1]Base de datos '!$K$7,'[1]Base de datos '!E256,IF($A$3='[1]Base de datos '!$K$8,'[1]Base de datos '!F256,IF($A$3='[1]Base de datos '!$K$9,'[1]Base de datos '!G256)))))</f>
        <v>429</v>
      </c>
      <c r="B258" s="17" t="str">
        <f t="shared" si="4"/>
        <v>MEDIO</v>
      </c>
      <c r="C258" s="18" t="s">
        <v>6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</row>
    <row r="259" spans="1:21" ht="15.75" customHeight="1" x14ac:dyDescent="0.25">
      <c r="A259" s="16">
        <f>IF($A$3='[1]Base de datos '!$K$5,'[1]Base de datos '!C257,IF($A$3='[1]Base de datos '!$K$6,'[1]Base de datos '!D257,IF($A$3='[1]Base de datos '!$K$7,'[1]Base de datos '!E257,IF($A$3='[1]Base de datos '!$K$8,'[1]Base de datos '!F257,IF($A$3='[1]Base de datos '!$K$9,'[1]Base de datos '!G257)))))</f>
        <v>1056</v>
      </c>
      <c r="B259" s="17" t="str">
        <f t="shared" si="4"/>
        <v>ALTO</v>
      </c>
      <c r="C259" s="18" t="s">
        <v>6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</row>
    <row r="260" spans="1:21" ht="15.75" customHeight="1" x14ac:dyDescent="0.25">
      <c r="A260" s="16">
        <f>IF($A$3='[1]Base de datos '!$K$5,'[1]Base de datos '!C258,IF($A$3='[1]Base de datos '!$K$6,'[1]Base de datos '!D258,IF($A$3='[1]Base de datos '!$K$7,'[1]Base de datos '!E258,IF($A$3='[1]Base de datos '!$K$8,'[1]Base de datos '!F258,IF($A$3='[1]Base de datos '!$K$9,'[1]Base de datos '!G258)))))</f>
        <v>792</v>
      </c>
      <c r="B260" s="17" t="str">
        <f t="shared" si="4"/>
        <v>ALTO</v>
      </c>
      <c r="C260" s="18" t="s">
        <v>17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</row>
    <row r="261" spans="1:21" ht="15.75" customHeight="1" x14ac:dyDescent="0.25">
      <c r="A261" s="16">
        <f>IF($A$3='[1]Base de datos '!$K$5,'[1]Base de datos '!C259,IF($A$3='[1]Base de datos '!$K$6,'[1]Base de datos '!D259,IF($A$3='[1]Base de datos '!$K$7,'[1]Base de datos '!E259,IF($A$3='[1]Base de datos '!$K$8,'[1]Base de datos '!F259,IF($A$3='[1]Base de datos '!$K$9,'[1]Base de datos '!G259)))))</f>
        <v>699</v>
      </c>
      <c r="B261" s="17" t="str">
        <f t="shared" si="4"/>
        <v>ALTO</v>
      </c>
      <c r="C261" s="18" t="s">
        <v>14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</row>
    <row r="262" spans="1:21" ht="15.75" customHeight="1" x14ac:dyDescent="0.25">
      <c r="A262" s="16">
        <f>IF($A$3='[1]Base de datos '!$K$5,'[1]Base de datos '!C260,IF($A$3='[1]Base de datos '!$K$6,'[1]Base de datos '!D260,IF($A$3='[1]Base de datos '!$K$7,'[1]Base de datos '!E260,IF($A$3='[1]Base de datos '!$K$8,'[1]Base de datos '!F260,IF($A$3='[1]Base de datos '!$K$9,'[1]Base de datos '!G260)))))</f>
        <v>800</v>
      </c>
      <c r="B262" s="17" t="str">
        <f t="shared" ref="B262:B325" si="5">IF(A262&lt;=$I$5,"BAJO",IF(A262&lt;=$I$6,"MEDIO","ALTO"))</f>
        <v>ALTO</v>
      </c>
      <c r="C262" s="18" t="s">
        <v>14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</row>
    <row r="263" spans="1:21" ht="15.75" customHeight="1" x14ac:dyDescent="0.25">
      <c r="A263" s="16">
        <f>IF($A$3='[1]Base de datos '!$K$5,'[1]Base de datos '!C261,IF($A$3='[1]Base de datos '!$K$6,'[1]Base de datos '!D261,IF($A$3='[1]Base de datos '!$K$7,'[1]Base de datos '!E261,IF($A$3='[1]Base de datos '!$K$8,'[1]Base de datos '!F261,IF($A$3='[1]Base de datos '!$K$9,'[1]Base de datos '!G261)))))</f>
        <v>680</v>
      </c>
      <c r="B263" s="17" t="str">
        <f t="shared" si="5"/>
        <v>ALTO</v>
      </c>
      <c r="C263" s="18" t="s">
        <v>19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</row>
    <row r="264" spans="1:21" ht="15.75" customHeight="1" x14ac:dyDescent="0.25">
      <c r="A264" s="16">
        <f>IF($A$3='[1]Base de datos '!$K$5,'[1]Base de datos '!C262,IF($A$3='[1]Base de datos '!$K$6,'[1]Base de datos '!D262,IF($A$3='[1]Base de datos '!$K$7,'[1]Base de datos '!E262,IF($A$3='[1]Base de datos '!$K$8,'[1]Base de datos '!F262,IF($A$3='[1]Base de datos '!$K$9,'[1]Base de datos '!G262)))))</f>
        <v>955</v>
      </c>
      <c r="B264" s="17" t="str">
        <f t="shared" si="5"/>
        <v>ALTO</v>
      </c>
      <c r="C264" s="18" t="s">
        <v>14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</row>
    <row r="265" spans="1:21" ht="15.75" customHeight="1" x14ac:dyDescent="0.25">
      <c r="A265" s="16">
        <f>IF($A$3='[1]Base de datos '!$K$5,'[1]Base de datos '!C263,IF($A$3='[1]Base de datos '!$K$6,'[1]Base de datos '!D263,IF($A$3='[1]Base de datos '!$K$7,'[1]Base de datos '!E263,IF($A$3='[1]Base de datos '!$K$8,'[1]Base de datos '!F263,IF($A$3='[1]Base de datos '!$K$9,'[1]Base de datos '!G263)))))</f>
        <v>588</v>
      </c>
      <c r="B265" s="17" t="str">
        <f t="shared" si="5"/>
        <v>MEDIO</v>
      </c>
      <c r="C265" s="18" t="s">
        <v>8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</row>
    <row r="266" spans="1:21" ht="15.75" customHeight="1" x14ac:dyDescent="0.25">
      <c r="A266" s="16">
        <f>IF($A$3='[1]Base de datos '!$K$5,'[1]Base de datos '!C264,IF($A$3='[1]Base de datos '!$K$6,'[1]Base de datos '!D264,IF($A$3='[1]Base de datos '!$K$7,'[1]Base de datos '!E264,IF($A$3='[1]Base de datos '!$K$8,'[1]Base de datos '!F264,IF($A$3='[1]Base de datos '!$K$9,'[1]Base de datos '!G264)))))</f>
        <v>549</v>
      </c>
      <c r="B266" s="17" t="str">
        <f t="shared" si="5"/>
        <v>MEDIO</v>
      </c>
      <c r="C266" s="18" t="s">
        <v>14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</row>
    <row r="267" spans="1:21" ht="15.75" customHeight="1" x14ac:dyDescent="0.25">
      <c r="A267" s="16">
        <f>IF($A$3='[1]Base de datos '!$K$5,'[1]Base de datos '!C265,IF($A$3='[1]Base de datos '!$K$6,'[1]Base de datos '!D265,IF($A$3='[1]Base de datos '!$K$7,'[1]Base de datos '!E265,IF($A$3='[1]Base de datos '!$K$8,'[1]Base de datos '!F265,IF($A$3='[1]Base de datos '!$K$9,'[1]Base de datos '!G265)))))</f>
        <v>568</v>
      </c>
      <c r="B267" s="17" t="str">
        <f t="shared" si="5"/>
        <v>MEDIO</v>
      </c>
      <c r="C267" s="18" t="s">
        <v>6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</row>
    <row r="268" spans="1:21" ht="15.75" customHeight="1" x14ac:dyDescent="0.25">
      <c r="A268" s="16">
        <f>IF($A$3='[1]Base de datos '!$K$5,'[1]Base de datos '!C266,IF($A$3='[1]Base de datos '!$K$6,'[1]Base de datos '!D266,IF($A$3='[1]Base de datos '!$K$7,'[1]Base de datos '!E266,IF($A$3='[1]Base de datos '!$K$8,'[1]Base de datos '!F266,IF($A$3='[1]Base de datos '!$K$9,'[1]Base de datos '!G266)))))</f>
        <v>671</v>
      </c>
      <c r="B268" s="17" t="str">
        <f t="shared" si="5"/>
        <v>ALTO</v>
      </c>
      <c r="C268" s="18" t="s">
        <v>17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</row>
    <row r="269" spans="1:21" ht="15.75" customHeight="1" x14ac:dyDescent="0.25">
      <c r="A269" s="16">
        <f>IF($A$3='[1]Base de datos '!$K$5,'[1]Base de datos '!C267,IF($A$3='[1]Base de datos '!$K$6,'[1]Base de datos '!D267,IF($A$3='[1]Base de datos '!$K$7,'[1]Base de datos '!E267,IF($A$3='[1]Base de datos '!$K$8,'[1]Base de datos '!F267,IF($A$3='[1]Base de datos '!$K$9,'[1]Base de datos '!G267)))))</f>
        <v>632</v>
      </c>
      <c r="B269" s="17" t="str">
        <f t="shared" si="5"/>
        <v>ALTO</v>
      </c>
      <c r="C269" s="18" t="s">
        <v>8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</row>
    <row r="270" spans="1:21" ht="15.75" customHeight="1" x14ac:dyDescent="0.25">
      <c r="A270" s="16">
        <f>IF($A$3='[1]Base de datos '!$K$5,'[1]Base de datos '!C268,IF($A$3='[1]Base de datos '!$K$6,'[1]Base de datos '!D268,IF($A$3='[1]Base de datos '!$K$7,'[1]Base de datos '!E268,IF($A$3='[1]Base de datos '!$K$8,'[1]Base de datos '!F268,IF($A$3='[1]Base de datos '!$K$9,'[1]Base de datos '!G268)))))</f>
        <v>151</v>
      </c>
      <c r="B270" s="17" t="str">
        <f t="shared" si="5"/>
        <v>BAJO</v>
      </c>
      <c r="C270" s="18" t="s">
        <v>19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</row>
    <row r="271" spans="1:21" ht="15.75" customHeight="1" x14ac:dyDescent="0.25">
      <c r="A271" s="16">
        <f>IF($A$3='[1]Base de datos '!$K$5,'[1]Base de datos '!C269,IF($A$3='[1]Base de datos '!$K$6,'[1]Base de datos '!D269,IF($A$3='[1]Base de datos '!$K$7,'[1]Base de datos '!E269,IF($A$3='[1]Base de datos '!$K$8,'[1]Base de datos '!F269,IF($A$3='[1]Base de datos '!$K$9,'[1]Base de datos '!G269)))))</f>
        <v>890</v>
      </c>
      <c r="B271" s="17" t="str">
        <f t="shared" si="5"/>
        <v>ALTO</v>
      </c>
      <c r="C271" s="18" t="s">
        <v>17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</row>
    <row r="272" spans="1:21" ht="15.75" customHeight="1" x14ac:dyDescent="0.25">
      <c r="A272" s="16">
        <f>IF($A$3='[1]Base de datos '!$K$5,'[1]Base de datos '!C270,IF($A$3='[1]Base de datos '!$K$6,'[1]Base de datos '!D270,IF($A$3='[1]Base de datos '!$K$7,'[1]Base de datos '!E270,IF($A$3='[1]Base de datos '!$K$8,'[1]Base de datos '!F270,IF($A$3='[1]Base de datos '!$K$9,'[1]Base de datos '!G270)))))</f>
        <v>377</v>
      </c>
      <c r="B272" s="17" t="str">
        <f t="shared" si="5"/>
        <v>MEDIO</v>
      </c>
      <c r="C272" s="18" t="s">
        <v>6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</row>
    <row r="273" spans="1:21" ht="15.75" customHeight="1" x14ac:dyDescent="0.25">
      <c r="A273" s="16">
        <f>IF($A$3='[1]Base de datos '!$K$5,'[1]Base de datos '!C271,IF($A$3='[1]Base de datos '!$K$6,'[1]Base de datos '!D271,IF($A$3='[1]Base de datos '!$K$7,'[1]Base de datos '!E271,IF($A$3='[1]Base de datos '!$K$8,'[1]Base de datos '!F271,IF($A$3='[1]Base de datos '!$K$9,'[1]Base de datos '!G271)))))</f>
        <v>492</v>
      </c>
      <c r="B273" s="17" t="str">
        <f t="shared" si="5"/>
        <v>MEDIO</v>
      </c>
      <c r="C273" s="18" t="s">
        <v>11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</row>
    <row r="274" spans="1:21" ht="15.75" customHeight="1" x14ac:dyDescent="0.25">
      <c r="A274" s="16">
        <f>IF($A$3='[1]Base de datos '!$K$5,'[1]Base de datos '!C272,IF($A$3='[1]Base de datos '!$K$6,'[1]Base de datos '!D272,IF($A$3='[1]Base de datos '!$K$7,'[1]Base de datos '!E272,IF($A$3='[1]Base de datos '!$K$8,'[1]Base de datos '!F272,IF($A$3='[1]Base de datos '!$K$9,'[1]Base de datos '!G272)))))</f>
        <v>524</v>
      </c>
      <c r="B274" s="17" t="str">
        <f t="shared" si="5"/>
        <v>MEDIO</v>
      </c>
      <c r="C274" s="18" t="s">
        <v>19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</row>
    <row r="275" spans="1:21" ht="15.75" customHeight="1" x14ac:dyDescent="0.25">
      <c r="A275" s="16">
        <f>IF($A$3='[1]Base de datos '!$K$5,'[1]Base de datos '!C273,IF($A$3='[1]Base de datos '!$K$6,'[1]Base de datos '!D273,IF($A$3='[1]Base de datos '!$K$7,'[1]Base de datos '!E273,IF($A$3='[1]Base de datos '!$K$8,'[1]Base de datos '!F273,IF($A$3='[1]Base de datos '!$K$9,'[1]Base de datos '!G273)))))</f>
        <v>805</v>
      </c>
      <c r="B275" s="17" t="str">
        <f t="shared" si="5"/>
        <v>ALTO</v>
      </c>
      <c r="C275" s="18" t="s">
        <v>17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</row>
    <row r="276" spans="1:21" ht="15.75" customHeight="1" x14ac:dyDescent="0.25">
      <c r="A276" s="16">
        <f>IF($A$3='[1]Base de datos '!$K$5,'[1]Base de datos '!C274,IF($A$3='[1]Base de datos '!$K$6,'[1]Base de datos '!D274,IF($A$3='[1]Base de datos '!$K$7,'[1]Base de datos '!E274,IF($A$3='[1]Base de datos '!$K$8,'[1]Base de datos '!F274,IF($A$3='[1]Base de datos '!$K$9,'[1]Base de datos '!G274)))))</f>
        <v>84</v>
      </c>
      <c r="B276" s="17" t="str">
        <f t="shared" si="5"/>
        <v>BAJO</v>
      </c>
      <c r="C276" s="18" t="s">
        <v>8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</row>
    <row r="277" spans="1:21" ht="15.75" customHeight="1" x14ac:dyDescent="0.25">
      <c r="A277" s="16">
        <f>IF($A$3='[1]Base de datos '!$K$5,'[1]Base de datos '!C275,IF($A$3='[1]Base de datos '!$K$6,'[1]Base de datos '!D275,IF($A$3='[1]Base de datos '!$K$7,'[1]Base de datos '!E275,IF($A$3='[1]Base de datos '!$K$8,'[1]Base de datos '!F275,IF($A$3='[1]Base de datos '!$K$9,'[1]Base de datos '!G275)))))</f>
        <v>263</v>
      </c>
      <c r="B277" s="17" t="str">
        <f t="shared" si="5"/>
        <v>BAJO</v>
      </c>
      <c r="C277" s="18" t="s">
        <v>11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</row>
    <row r="278" spans="1:21" ht="15.75" customHeight="1" x14ac:dyDescent="0.25">
      <c r="A278" s="16">
        <f>IF($A$3='[1]Base de datos '!$K$5,'[1]Base de datos '!C276,IF($A$3='[1]Base de datos '!$K$6,'[1]Base de datos '!D276,IF($A$3='[1]Base de datos '!$K$7,'[1]Base de datos '!E276,IF($A$3='[1]Base de datos '!$K$8,'[1]Base de datos '!F276,IF($A$3='[1]Base de datos '!$K$9,'[1]Base de datos '!G276)))))</f>
        <v>1213</v>
      </c>
      <c r="B278" s="17" t="str">
        <f t="shared" si="5"/>
        <v>ALTO</v>
      </c>
      <c r="C278" s="18" t="s">
        <v>14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</row>
    <row r="279" spans="1:21" ht="15.75" customHeight="1" x14ac:dyDescent="0.25">
      <c r="A279" s="16">
        <f>IF($A$3='[1]Base de datos '!$K$5,'[1]Base de datos '!C277,IF($A$3='[1]Base de datos '!$K$6,'[1]Base de datos '!D277,IF($A$3='[1]Base de datos '!$K$7,'[1]Base de datos '!E277,IF($A$3='[1]Base de datos '!$K$8,'[1]Base de datos '!F277,IF($A$3='[1]Base de datos '!$K$9,'[1]Base de datos '!G277)))))</f>
        <v>942</v>
      </c>
      <c r="B279" s="17" t="str">
        <f t="shared" si="5"/>
        <v>ALTO</v>
      </c>
      <c r="C279" s="18" t="s">
        <v>11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</row>
    <row r="280" spans="1:21" ht="15.75" customHeight="1" x14ac:dyDescent="0.25">
      <c r="A280" s="16">
        <f>IF($A$3='[1]Base de datos '!$K$5,'[1]Base de datos '!C278,IF($A$3='[1]Base de datos '!$K$6,'[1]Base de datos '!D278,IF($A$3='[1]Base de datos '!$K$7,'[1]Base de datos '!E278,IF($A$3='[1]Base de datos '!$K$8,'[1]Base de datos '!F278,IF($A$3='[1]Base de datos '!$K$9,'[1]Base de datos '!G278)))))</f>
        <v>1044</v>
      </c>
      <c r="B280" s="17" t="str">
        <f t="shared" si="5"/>
        <v>ALTO</v>
      </c>
      <c r="C280" s="18" t="s">
        <v>14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</row>
    <row r="281" spans="1:21" ht="15.75" customHeight="1" x14ac:dyDescent="0.25">
      <c r="A281" s="16">
        <f>IF($A$3='[1]Base de datos '!$K$5,'[1]Base de datos '!C279,IF($A$3='[1]Base de datos '!$K$6,'[1]Base de datos '!D279,IF($A$3='[1]Base de datos '!$K$7,'[1]Base de datos '!E279,IF($A$3='[1]Base de datos '!$K$8,'[1]Base de datos '!F279,IF($A$3='[1]Base de datos '!$K$9,'[1]Base de datos '!G279)))))</f>
        <v>543</v>
      </c>
      <c r="B281" s="17" t="str">
        <f t="shared" si="5"/>
        <v>MEDIO</v>
      </c>
      <c r="C281" s="18" t="s">
        <v>14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</row>
    <row r="282" spans="1:21" ht="15.75" customHeight="1" x14ac:dyDescent="0.25">
      <c r="A282" s="16">
        <f>IF($A$3='[1]Base de datos '!$K$5,'[1]Base de datos '!C280,IF($A$3='[1]Base de datos '!$K$6,'[1]Base de datos '!D280,IF($A$3='[1]Base de datos '!$K$7,'[1]Base de datos '!E280,IF($A$3='[1]Base de datos '!$K$8,'[1]Base de datos '!F280,IF($A$3='[1]Base de datos '!$K$9,'[1]Base de datos '!G280)))))</f>
        <v>920</v>
      </c>
      <c r="B282" s="17" t="str">
        <f t="shared" si="5"/>
        <v>ALTO</v>
      </c>
      <c r="C282" s="18" t="s">
        <v>6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</row>
    <row r="283" spans="1:21" ht="15.75" customHeight="1" x14ac:dyDescent="0.25">
      <c r="A283" s="16">
        <f>IF($A$3='[1]Base de datos '!$K$5,'[1]Base de datos '!C281,IF($A$3='[1]Base de datos '!$K$6,'[1]Base de datos '!D281,IF($A$3='[1]Base de datos '!$K$7,'[1]Base de datos '!E281,IF($A$3='[1]Base de datos '!$K$8,'[1]Base de datos '!F281,IF($A$3='[1]Base de datos '!$K$9,'[1]Base de datos '!G281)))))</f>
        <v>558</v>
      </c>
      <c r="B283" s="17" t="str">
        <f t="shared" si="5"/>
        <v>MEDIO</v>
      </c>
      <c r="C283" s="18" t="s">
        <v>6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</row>
    <row r="284" spans="1:21" ht="15.75" customHeight="1" x14ac:dyDescent="0.25">
      <c r="A284" s="16">
        <f>IF($A$3='[1]Base de datos '!$K$5,'[1]Base de datos '!C282,IF($A$3='[1]Base de datos '!$K$6,'[1]Base de datos '!D282,IF($A$3='[1]Base de datos '!$K$7,'[1]Base de datos '!E282,IF($A$3='[1]Base de datos '!$K$8,'[1]Base de datos '!F282,IF($A$3='[1]Base de datos '!$K$9,'[1]Base de datos '!G282)))))</f>
        <v>499</v>
      </c>
      <c r="B284" s="17" t="str">
        <f t="shared" si="5"/>
        <v>MEDIO</v>
      </c>
      <c r="C284" s="18" t="s">
        <v>8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</row>
    <row r="285" spans="1:21" ht="15.75" customHeight="1" x14ac:dyDescent="0.25">
      <c r="A285" s="16">
        <f>IF($A$3='[1]Base de datos '!$K$5,'[1]Base de datos '!C283,IF($A$3='[1]Base de datos '!$K$6,'[1]Base de datos '!D283,IF($A$3='[1]Base de datos '!$K$7,'[1]Base de datos '!E283,IF($A$3='[1]Base de datos '!$K$8,'[1]Base de datos '!F283,IF($A$3='[1]Base de datos '!$K$9,'[1]Base de datos '!G283)))))</f>
        <v>154</v>
      </c>
      <c r="B285" s="17" t="str">
        <f t="shared" si="5"/>
        <v>BAJO</v>
      </c>
      <c r="C285" s="18" t="s">
        <v>17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</row>
    <row r="286" spans="1:21" ht="15.75" customHeight="1" x14ac:dyDescent="0.25">
      <c r="A286" s="16">
        <f>IF($A$3='[1]Base de datos '!$K$5,'[1]Base de datos '!C284,IF($A$3='[1]Base de datos '!$K$6,'[1]Base de datos '!D284,IF($A$3='[1]Base de datos '!$K$7,'[1]Base de datos '!E284,IF($A$3='[1]Base de datos '!$K$8,'[1]Base de datos '!F284,IF($A$3='[1]Base de datos '!$K$9,'[1]Base de datos '!G284)))))</f>
        <v>589</v>
      </c>
      <c r="B286" s="17" t="str">
        <f t="shared" si="5"/>
        <v>MEDIO</v>
      </c>
      <c r="C286" s="18" t="s">
        <v>14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</row>
    <row r="287" spans="1:21" ht="15.75" customHeight="1" x14ac:dyDescent="0.25">
      <c r="A287" s="16">
        <f>IF($A$3='[1]Base de datos '!$K$5,'[1]Base de datos '!C285,IF($A$3='[1]Base de datos '!$K$6,'[1]Base de datos '!D285,IF($A$3='[1]Base de datos '!$K$7,'[1]Base de datos '!E285,IF($A$3='[1]Base de datos '!$K$8,'[1]Base de datos '!F285,IF($A$3='[1]Base de datos '!$K$9,'[1]Base de datos '!G285)))))</f>
        <v>542</v>
      </c>
      <c r="B287" s="17" t="str">
        <f t="shared" si="5"/>
        <v>MEDIO</v>
      </c>
      <c r="C287" s="18" t="s">
        <v>11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</row>
    <row r="288" spans="1:21" ht="15.75" customHeight="1" x14ac:dyDescent="0.25">
      <c r="A288" s="16">
        <f>IF($A$3='[1]Base de datos '!$K$5,'[1]Base de datos '!C286,IF($A$3='[1]Base de datos '!$K$6,'[1]Base de datos '!D286,IF($A$3='[1]Base de datos '!$K$7,'[1]Base de datos '!E286,IF($A$3='[1]Base de datos '!$K$8,'[1]Base de datos '!F286,IF($A$3='[1]Base de datos '!$K$9,'[1]Base de datos '!G286)))))</f>
        <v>52</v>
      </c>
      <c r="B288" s="17" t="str">
        <f t="shared" si="5"/>
        <v>BAJO</v>
      </c>
      <c r="C288" s="18" t="s">
        <v>6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</row>
    <row r="289" spans="1:21" ht="15.75" customHeight="1" x14ac:dyDescent="0.25">
      <c r="A289" s="16">
        <f>IF($A$3='[1]Base de datos '!$K$5,'[1]Base de datos '!C287,IF($A$3='[1]Base de datos '!$K$6,'[1]Base de datos '!D287,IF($A$3='[1]Base de datos '!$K$7,'[1]Base de datos '!E287,IF($A$3='[1]Base de datos '!$K$8,'[1]Base de datos '!F287,IF($A$3='[1]Base de datos '!$K$9,'[1]Base de datos '!G287)))))</f>
        <v>368</v>
      </c>
      <c r="B289" s="17" t="str">
        <f t="shared" si="5"/>
        <v>MEDIO</v>
      </c>
      <c r="C289" s="18" t="s">
        <v>17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</row>
    <row r="290" spans="1:21" ht="15.75" customHeight="1" x14ac:dyDescent="0.25">
      <c r="A290" s="16">
        <f>IF($A$3='[1]Base de datos '!$K$5,'[1]Base de datos '!C288,IF($A$3='[1]Base de datos '!$K$6,'[1]Base de datos '!D288,IF($A$3='[1]Base de datos '!$K$7,'[1]Base de datos '!E288,IF($A$3='[1]Base de datos '!$K$8,'[1]Base de datos '!F288,IF($A$3='[1]Base de datos '!$K$9,'[1]Base de datos '!G288)))))</f>
        <v>535</v>
      </c>
      <c r="B290" s="17" t="str">
        <f t="shared" si="5"/>
        <v>MEDIO</v>
      </c>
      <c r="C290" s="18" t="s">
        <v>19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</row>
    <row r="291" spans="1:21" ht="15.75" customHeight="1" x14ac:dyDescent="0.25">
      <c r="A291" s="16">
        <f>IF($A$3='[1]Base de datos '!$K$5,'[1]Base de datos '!C289,IF($A$3='[1]Base de datos '!$K$6,'[1]Base de datos '!D289,IF($A$3='[1]Base de datos '!$K$7,'[1]Base de datos '!E289,IF($A$3='[1]Base de datos '!$K$8,'[1]Base de datos '!F289,IF($A$3='[1]Base de datos '!$K$9,'[1]Base de datos '!G289)))))</f>
        <v>320</v>
      </c>
      <c r="B291" s="17" t="str">
        <f t="shared" si="5"/>
        <v>MEDIO</v>
      </c>
      <c r="C291" s="18" t="s">
        <v>11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</row>
    <row r="292" spans="1:21" ht="15.75" customHeight="1" x14ac:dyDescent="0.25">
      <c r="A292" s="16">
        <f>IF($A$3='[1]Base de datos '!$K$5,'[1]Base de datos '!C290,IF($A$3='[1]Base de datos '!$K$6,'[1]Base de datos '!D290,IF($A$3='[1]Base de datos '!$K$7,'[1]Base de datos '!E290,IF($A$3='[1]Base de datos '!$K$8,'[1]Base de datos '!F290,IF($A$3='[1]Base de datos '!$K$9,'[1]Base de datos '!G290)))))</f>
        <v>796</v>
      </c>
      <c r="B292" s="17" t="str">
        <f t="shared" si="5"/>
        <v>ALTO</v>
      </c>
      <c r="C292" s="18" t="s">
        <v>17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</row>
    <row r="293" spans="1:21" ht="15.75" customHeight="1" x14ac:dyDescent="0.25">
      <c r="A293" s="16">
        <f>IF($A$3='[1]Base de datos '!$K$5,'[1]Base de datos '!C291,IF($A$3='[1]Base de datos '!$K$6,'[1]Base de datos '!D291,IF($A$3='[1]Base de datos '!$K$7,'[1]Base de datos '!E291,IF($A$3='[1]Base de datos '!$K$8,'[1]Base de datos '!F291,IF($A$3='[1]Base de datos '!$K$9,'[1]Base de datos '!G291)))))</f>
        <v>527</v>
      </c>
      <c r="B293" s="17" t="str">
        <f t="shared" si="5"/>
        <v>MEDIO</v>
      </c>
      <c r="C293" s="18" t="s">
        <v>6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</row>
    <row r="294" spans="1:21" ht="15.75" customHeight="1" x14ac:dyDescent="0.25">
      <c r="A294" s="16">
        <f>IF($A$3='[1]Base de datos '!$K$5,'[1]Base de datos '!C292,IF($A$3='[1]Base de datos '!$K$6,'[1]Base de datos '!D292,IF($A$3='[1]Base de datos '!$K$7,'[1]Base de datos '!E292,IF($A$3='[1]Base de datos '!$K$8,'[1]Base de datos '!F292,IF($A$3='[1]Base de datos '!$K$9,'[1]Base de datos '!G292)))))</f>
        <v>685</v>
      </c>
      <c r="B294" s="17" t="str">
        <f t="shared" si="5"/>
        <v>ALTO</v>
      </c>
      <c r="C294" s="18" t="s">
        <v>18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</row>
    <row r="295" spans="1:21" ht="15.75" customHeight="1" x14ac:dyDescent="0.25">
      <c r="A295" s="16">
        <f>IF($A$3='[1]Base de datos '!$K$5,'[1]Base de datos '!C293,IF($A$3='[1]Base de datos '!$K$6,'[1]Base de datos '!D293,IF($A$3='[1]Base de datos '!$K$7,'[1]Base de datos '!E293,IF($A$3='[1]Base de datos '!$K$8,'[1]Base de datos '!F293,IF($A$3='[1]Base de datos '!$K$9,'[1]Base de datos '!G293)))))</f>
        <v>905</v>
      </c>
      <c r="B295" s="17" t="str">
        <f t="shared" si="5"/>
        <v>ALTO</v>
      </c>
      <c r="C295" s="18" t="s">
        <v>14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</row>
    <row r="296" spans="1:21" ht="15.75" customHeight="1" x14ac:dyDescent="0.25">
      <c r="A296" s="16">
        <f>IF($A$3='[1]Base de datos '!$K$5,'[1]Base de datos '!C294,IF($A$3='[1]Base de datos '!$K$6,'[1]Base de datos '!D294,IF($A$3='[1]Base de datos '!$K$7,'[1]Base de datos '!E294,IF($A$3='[1]Base de datos '!$K$8,'[1]Base de datos '!F294,IF($A$3='[1]Base de datos '!$K$9,'[1]Base de datos '!G294)))))</f>
        <v>701</v>
      </c>
      <c r="B296" s="17" t="str">
        <f t="shared" si="5"/>
        <v>ALTO</v>
      </c>
      <c r="C296" s="18" t="s">
        <v>19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</row>
    <row r="297" spans="1:21" ht="15.75" customHeight="1" x14ac:dyDescent="0.25">
      <c r="A297" s="16">
        <f>IF($A$3='[1]Base de datos '!$K$5,'[1]Base de datos '!C295,IF($A$3='[1]Base de datos '!$K$6,'[1]Base de datos '!D295,IF($A$3='[1]Base de datos '!$K$7,'[1]Base de datos '!E295,IF($A$3='[1]Base de datos '!$K$8,'[1]Base de datos '!F295,IF($A$3='[1]Base de datos '!$K$9,'[1]Base de datos '!G295)))))</f>
        <v>266</v>
      </c>
      <c r="B297" s="17" t="str">
        <f t="shared" si="5"/>
        <v>BAJO</v>
      </c>
      <c r="C297" s="18" t="s">
        <v>8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</row>
    <row r="298" spans="1:21" ht="15.75" customHeight="1" x14ac:dyDescent="0.25">
      <c r="A298" s="16">
        <f>IF($A$3='[1]Base de datos '!$K$5,'[1]Base de datos '!C296,IF($A$3='[1]Base de datos '!$K$6,'[1]Base de datos '!D296,IF($A$3='[1]Base de datos '!$K$7,'[1]Base de datos '!E296,IF($A$3='[1]Base de datos '!$K$8,'[1]Base de datos '!F296,IF($A$3='[1]Base de datos '!$K$9,'[1]Base de datos '!G296)))))</f>
        <v>781</v>
      </c>
      <c r="B298" s="17" t="str">
        <f t="shared" si="5"/>
        <v>ALTO</v>
      </c>
      <c r="C298" s="18" t="s">
        <v>14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</row>
    <row r="299" spans="1:21" ht="15.75" customHeight="1" x14ac:dyDescent="0.25">
      <c r="A299" s="16">
        <f>IF($A$3='[1]Base de datos '!$K$5,'[1]Base de datos '!C297,IF($A$3='[1]Base de datos '!$K$6,'[1]Base de datos '!D297,IF($A$3='[1]Base de datos '!$K$7,'[1]Base de datos '!E297,IF($A$3='[1]Base de datos '!$K$8,'[1]Base de datos '!F297,IF($A$3='[1]Base de datos '!$K$9,'[1]Base de datos '!G297)))))</f>
        <v>463</v>
      </c>
      <c r="B299" s="17" t="str">
        <f t="shared" si="5"/>
        <v>MEDIO</v>
      </c>
      <c r="C299" s="18" t="s">
        <v>14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</row>
    <row r="300" spans="1:21" ht="15.75" customHeight="1" x14ac:dyDescent="0.25">
      <c r="A300" s="16">
        <f>IF($A$3='[1]Base de datos '!$K$5,'[1]Base de datos '!C298,IF($A$3='[1]Base de datos '!$K$6,'[1]Base de datos '!D298,IF($A$3='[1]Base de datos '!$K$7,'[1]Base de datos '!E298,IF($A$3='[1]Base de datos '!$K$8,'[1]Base de datos '!F298,IF($A$3='[1]Base de datos '!$K$9,'[1]Base de datos '!G298)))))</f>
        <v>194</v>
      </c>
      <c r="B300" s="17" t="str">
        <f t="shared" si="5"/>
        <v>BAJO</v>
      </c>
      <c r="C300" s="18" t="s">
        <v>17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</row>
    <row r="301" spans="1:21" ht="15.75" customHeight="1" x14ac:dyDescent="0.25">
      <c r="A301" s="16">
        <f>IF($A$3='[1]Base de datos '!$K$5,'[1]Base de datos '!C299,IF($A$3='[1]Base de datos '!$K$6,'[1]Base de datos '!D299,IF($A$3='[1]Base de datos '!$K$7,'[1]Base de datos '!E299,IF($A$3='[1]Base de datos '!$K$8,'[1]Base de datos '!F299,IF($A$3='[1]Base de datos '!$K$9,'[1]Base de datos '!G299)))))</f>
        <v>555</v>
      </c>
      <c r="B301" s="17" t="str">
        <f t="shared" si="5"/>
        <v>MEDIO</v>
      </c>
      <c r="C301" s="18" t="s">
        <v>14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</row>
    <row r="302" spans="1:21" ht="15.75" customHeight="1" x14ac:dyDescent="0.25">
      <c r="A302" s="16">
        <f>IF($A$3='[1]Base de datos '!$K$5,'[1]Base de datos '!C300,IF($A$3='[1]Base de datos '!$K$6,'[1]Base de datos '!D300,IF($A$3='[1]Base de datos '!$K$7,'[1]Base de datos '!E300,IF($A$3='[1]Base de datos '!$K$8,'[1]Base de datos '!F300,IF($A$3='[1]Base de datos '!$K$9,'[1]Base de datos '!G300)))))</f>
        <v>724</v>
      </c>
      <c r="B302" s="17" t="str">
        <f t="shared" si="5"/>
        <v>ALTO</v>
      </c>
      <c r="C302" s="18" t="s">
        <v>8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</row>
    <row r="303" spans="1:21" ht="15.75" customHeight="1" x14ac:dyDescent="0.25">
      <c r="A303" s="16">
        <f>IF($A$3='[1]Base de datos '!$K$5,'[1]Base de datos '!C301,IF($A$3='[1]Base de datos '!$K$6,'[1]Base de datos '!D301,IF($A$3='[1]Base de datos '!$K$7,'[1]Base de datos '!E301,IF($A$3='[1]Base de datos '!$K$8,'[1]Base de datos '!F301,IF($A$3='[1]Base de datos '!$K$9,'[1]Base de datos '!G301)))))</f>
        <v>709</v>
      </c>
      <c r="B303" s="17" t="str">
        <f t="shared" si="5"/>
        <v>ALTO</v>
      </c>
      <c r="C303" s="18" t="s">
        <v>19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</row>
    <row r="304" spans="1:21" ht="15.75" customHeight="1" x14ac:dyDescent="0.25">
      <c r="A304" s="16">
        <f>IF($A$3='[1]Base de datos '!$K$5,'[1]Base de datos '!C302,IF($A$3='[1]Base de datos '!$K$6,'[1]Base de datos '!D302,IF($A$3='[1]Base de datos '!$K$7,'[1]Base de datos '!E302,IF($A$3='[1]Base de datos '!$K$8,'[1]Base de datos '!F302,IF($A$3='[1]Base de datos '!$K$9,'[1]Base de datos '!G302)))))</f>
        <v>200</v>
      </c>
      <c r="B304" s="17" t="str">
        <f t="shared" si="5"/>
        <v>BAJO</v>
      </c>
      <c r="C304" s="18" t="s">
        <v>17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</row>
    <row r="305" spans="1:21" ht="15.75" customHeight="1" x14ac:dyDescent="0.25">
      <c r="A305" s="16">
        <f>IF($A$3='[1]Base de datos '!$K$5,'[1]Base de datos '!C303,IF($A$3='[1]Base de datos '!$K$6,'[1]Base de datos '!D303,IF($A$3='[1]Base de datos '!$K$7,'[1]Base de datos '!E303,IF($A$3='[1]Base de datos '!$K$8,'[1]Base de datos '!F303,IF($A$3='[1]Base de datos '!$K$9,'[1]Base de datos '!G303)))))</f>
        <v>613</v>
      </c>
      <c r="B305" s="17" t="str">
        <f t="shared" si="5"/>
        <v>MEDIO</v>
      </c>
      <c r="C305" s="18" t="s">
        <v>8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</row>
    <row r="306" spans="1:21" ht="15.75" customHeight="1" x14ac:dyDescent="0.25">
      <c r="A306" s="16">
        <f>IF($A$3='[1]Base de datos '!$K$5,'[1]Base de datos '!C304,IF($A$3='[1]Base de datos '!$K$6,'[1]Base de datos '!D304,IF($A$3='[1]Base de datos '!$K$7,'[1]Base de datos '!E304,IF($A$3='[1]Base de datos '!$K$8,'[1]Base de datos '!F304,IF($A$3='[1]Base de datos '!$K$9,'[1]Base de datos '!G304)))))</f>
        <v>860</v>
      </c>
      <c r="B306" s="17" t="str">
        <f t="shared" si="5"/>
        <v>ALTO</v>
      </c>
      <c r="C306" s="18" t="s">
        <v>18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</row>
    <row r="307" spans="1:21" ht="15.75" customHeight="1" x14ac:dyDescent="0.25">
      <c r="A307" s="16">
        <f>IF($A$3='[1]Base de datos '!$K$5,'[1]Base de datos '!C305,IF($A$3='[1]Base de datos '!$K$6,'[1]Base de datos '!D305,IF($A$3='[1]Base de datos '!$K$7,'[1]Base de datos '!E305,IF($A$3='[1]Base de datos '!$K$8,'[1]Base de datos '!F305,IF($A$3='[1]Base de datos '!$K$9,'[1]Base de datos '!G305)))))</f>
        <v>440</v>
      </c>
      <c r="B307" s="17" t="str">
        <f t="shared" si="5"/>
        <v>MEDIO</v>
      </c>
      <c r="C307" s="18" t="s">
        <v>6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</row>
    <row r="308" spans="1:21" ht="15.75" customHeight="1" x14ac:dyDescent="0.25">
      <c r="A308" s="16">
        <f>IF($A$3='[1]Base de datos '!$K$5,'[1]Base de datos '!C306,IF($A$3='[1]Base de datos '!$K$6,'[1]Base de datos '!D306,IF($A$3='[1]Base de datos '!$K$7,'[1]Base de datos '!E306,IF($A$3='[1]Base de datos '!$K$8,'[1]Base de datos '!F306,IF($A$3='[1]Base de datos '!$K$9,'[1]Base de datos '!G306)))))</f>
        <v>611</v>
      </c>
      <c r="B308" s="17" t="str">
        <f t="shared" si="5"/>
        <v>MEDIO</v>
      </c>
      <c r="C308" s="18" t="s">
        <v>14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</row>
    <row r="309" spans="1:21" ht="15.75" customHeight="1" x14ac:dyDescent="0.25">
      <c r="A309" s="16">
        <f>IF($A$3='[1]Base de datos '!$K$5,'[1]Base de datos '!C307,IF($A$3='[1]Base de datos '!$K$6,'[1]Base de datos '!D307,IF($A$3='[1]Base de datos '!$K$7,'[1]Base de datos '!E307,IF($A$3='[1]Base de datos '!$K$8,'[1]Base de datos '!F307,IF($A$3='[1]Base de datos '!$K$9,'[1]Base de datos '!G307)))))</f>
        <v>626</v>
      </c>
      <c r="B309" s="17" t="str">
        <f t="shared" si="5"/>
        <v>ALTO</v>
      </c>
      <c r="C309" s="18" t="s">
        <v>14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</row>
    <row r="310" spans="1:21" ht="15.75" customHeight="1" x14ac:dyDescent="0.25">
      <c r="A310" s="16">
        <f>IF($A$3='[1]Base de datos '!$K$5,'[1]Base de datos '!C308,IF($A$3='[1]Base de datos '!$K$6,'[1]Base de datos '!D308,IF($A$3='[1]Base de datos '!$K$7,'[1]Base de datos '!E308,IF($A$3='[1]Base de datos '!$K$8,'[1]Base de datos '!F308,IF($A$3='[1]Base de datos '!$K$9,'[1]Base de datos '!G308)))))</f>
        <v>653</v>
      </c>
      <c r="B310" s="17" t="str">
        <f t="shared" si="5"/>
        <v>ALTO</v>
      </c>
      <c r="C310" s="18" t="s">
        <v>8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</row>
    <row r="311" spans="1:21" ht="15.75" customHeight="1" x14ac:dyDescent="0.25">
      <c r="A311" s="16">
        <f>IF($A$3='[1]Base de datos '!$K$5,'[1]Base de datos '!C309,IF($A$3='[1]Base de datos '!$K$6,'[1]Base de datos '!D309,IF($A$3='[1]Base de datos '!$K$7,'[1]Base de datos '!E309,IF($A$3='[1]Base de datos '!$K$8,'[1]Base de datos '!F309,IF($A$3='[1]Base de datos '!$K$9,'[1]Base de datos '!G309)))))</f>
        <v>890</v>
      </c>
      <c r="B311" s="17" t="str">
        <f t="shared" si="5"/>
        <v>ALTO</v>
      </c>
      <c r="C311" s="18" t="s">
        <v>8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</row>
    <row r="312" spans="1:21" ht="15.75" customHeight="1" x14ac:dyDescent="0.25">
      <c r="A312" s="16">
        <f>IF($A$3='[1]Base de datos '!$K$5,'[1]Base de datos '!C310,IF($A$3='[1]Base de datos '!$K$6,'[1]Base de datos '!D310,IF($A$3='[1]Base de datos '!$K$7,'[1]Base de datos '!E310,IF($A$3='[1]Base de datos '!$K$8,'[1]Base de datos '!F310,IF($A$3='[1]Base de datos '!$K$9,'[1]Base de datos '!G310)))))</f>
        <v>645</v>
      </c>
      <c r="B312" s="17" t="str">
        <f t="shared" si="5"/>
        <v>ALTO</v>
      </c>
      <c r="C312" s="18" t="s">
        <v>11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</row>
    <row r="313" spans="1:21" ht="15.75" customHeight="1" x14ac:dyDescent="0.25">
      <c r="A313" s="16">
        <f>IF($A$3='[1]Base de datos '!$K$5,'[1]Base de datos '!C311,IF($A$3='[1]Base de datos '!$K$6,'[1]Base de datos '!D311,IF($A$3='[1]Base de datos '!$K$7,'[1]Base de datos '!E311,IF($A$3='[1]Base de datos '!$K$8,'[1]Base de datos '!F311,IF($A$3='[1]Base de datos '!$K$9,'[1]Base de datos '!G311)))))</f>
        <v>286</v>
      </c>
      <c r="B313" s="17" t="str">
        <f t="shared" si="5"/>
        <v>BAJO</v>
      </c>
      <c r="C313" s="18" t="s">
        <v>8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</row>
    <row r="314" spans="1:21" ht="15.75" customHeight="1" x14ac:dyDescent="0.25">
      <c r="A314" s="16">
        <f>IF($A$3='[1]Base de datos '!$K$5,'[1]Base de datos '!C312,IF($A$3='[1]Base de datos '!$K$6,'[1]Base de datos '!D312,IF($A$3='[1]Base de datos '!$K$7,'[1]Base de datos '!E312,IF($A$3='[1]Base de datos '!$K$8,'[1]Base de datos '!F312,IF($A$3='[1]Base de datos '!$K$9,'[1]Base de datos '!G312)))))</f>
        <v>346</v>
      </c>
      <c r="B314" s="17" t="str">
        <f t="shared" si="5"/>
        <v>MEDIO</v>
      </c>
      <c r="C314" s="18" t="s">
        <v>18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</row>
    <row r="315" spans="1:21" ht="15.75" customHeight="1" x14ac:dyDescent="0.25">
      <c r="A315" s="16">
        <f>IF($A$3='[1]Base de datos '!$K$5,'[1]Base de datos '!C313,IF($A$3='[1]Base de datos '!$K$6,'[1]Base de datos '!D313,IF($A$3='[1]Base de datos '!$K$7,'[1]Base de datos '!E313,IF($A$3='[1]Base de datos '!$K$8,'[1]Base de datos '!F313,IF($A$3='[1]Base de datos '!$K$9,'[1]Base de datos '!G313)))))</f>
        <v>668</v>
      </c>
      <c r="B315" s="17" t="str">
        <f t="shared" si="5"/>
        <v>ALTO</v>
      </c>
      <c r="C315" s="18" t="s">
        <v>18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</row>
    <row r="316" spans="1:21" ht="15.75" customHeight="1" x14ac:dyDescent="0.25">
      <c r="A316" s="16">
        <f>IF($A$3='[1]Base de datos '!$K$5,'[1]Base de datos '!C314,IF($A$3='[1]Base de datos '!$K$6,'[1]Base de datos '!D314,IF($A$3='[1]Base de datos '!$K$7,'[1]Base de datos '!E314,IF($A$3='[1]Base de datos '!$K$8,'[1]Base de datos '!F314,IF($A$3='[1]Base de datos '!$K$9,'[1]Base de datos '!G314)))))</f>
        <v>108</v>
      </c>
      <c r="B316" s="17" t="str">
        <f t="shared" si="5"/>
        <v>BAJO</v>
      </c>
      <c r="C316" s="18" t="s">
        <v>18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</row>
    <row r="317" spans="1:21" ht="15.75" customHeight="1" x14ac:dyDescent="0.25">
      <c r="A317" s="16">
        <f>IF($A$3='[1]Base de datos '!$K$5,'[1]Base de datos '!C315,IF($A$3='[1]Base de datos '!$K$6,'[1]Base de datos '!D315,IF($A$3='[1]Base de datos '!$K$7,'[1]Base de datos '!E315,IF($A$3='[1]Base de datos '!$K$8,'[1]Base de datos '!F315,IF($A$3='[1]Base de datos '!$K$9,'[1]Base de datos '!G315)))))</f>
        <v>610</v>
      </c>
      <c r="B317" s="17" t="str">
        <f t="shared" si="5"/>
        <v>MEDIO</v>
      </c>
      <c r="C317" s="18" t="s">
        <v>14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</row>
    <row r="318" spans="1:21" ht="15.75" customHeight="1" x14ac:dyDescent="0.25">
      <c r="A318" s="16">
        <f>IF($A$3='[1]Base de datos '!$K$5,'[1]Base de datos '!C316,IF($A$3='[1]Base de datos '!$K$6,'[1]Base de datos '!D316,IF($A$3='[1]Base de datos '!$K$7,'[1]Base de datos '!E316,IF($A$3='[1]Base de datos '!$K$8,'[1]Base de datos '!F316,IF($A$3='[1]Base de datos '!$K$9,'[1]Base de datos '!G316)))))</f>
        <v>632</v>
      </c>
      <c r="B318" s="17" t="str">
        <f t="shared" si="5"/>
        <v>ALTO</v>
      </c>
      <c r="C318" s="18" t="s">
        <v>11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</row>
    <row r="319" spans="1:21" ht="15.75" customHeight="1" x14ac:dyDescent="0.25">
      <c r="A319" s="16">
        <f>IF($A$3='[1]Base de datos '!$K$5,'[1]Base de datos '!C317,IF($A$3='[1]Base de datos '!$K$6,'[1]Base de datos '!D317,IF($A$3='[1]Base de datos '!$K$7,'[1]Base de datos '!E317,IF($A$3='[1]Base de datos '!$K$8,'[1]Base de datos '!F317,IF($A$3='[1]Base de datos '!$K$9,'[1]Base de datos '!G317)))))</f>
        <v>734</v>
      </c>
      <c r="B319" s="17" t="str">
        <f t="shared" si="5"/>
        <v>ALTO</v>
      </c>
      <c r="C319" s="18" t="s">
        <v>17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</row>
    <row r="320" spans="1:21" ht="15.75" customHeight="1" x14ac:dyDescent="0.25">
      <c r="A320" s="16">
        <f>IF($A$3='[1]Base de datos '!$K$5,'[1]Base de datos '!C318,IF($A$3='[1]Base de datos '!$K$6,'[1]Base de datos '!D318,IF($A$3='[1]Base de datos '!$K$7,'[1]Base de datos '!E318,IF($A$3='[1]Base de datos '!$K$8,'[1]Base de datos '!F318,IF($A$3='[1]Base de datos '!$K$9,'[1]Base de datos '!G318)))))</f>
        <v>508</v>
      </c>
      <c r="B320" s="17" t="str">
        <f t="shared" si="5"/>
        <v>MEDIO</v>
      </c>
      <c r="C320" s="18" t="s">
        <v>8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</row>
    <row r="321" spans="1:21" ht="15.75" customHeight="1" x14ac:dyDescent="0.25">
      <c r="A321" s="16">
        <f>IF($A$3='[1]Base de datos '!$K$5,'[1]Base de datos '!C319,IF($A$3='[1]Base de datos '!$K$6,'[1]Base de datos '!D319,IF($A$3='[1]Base de datos '!$K$7,'[1]Base de datos '!E319,IF($A$3='[1]Base de datos '!$K$8,'[1]Base de datos '!F319,IF($A$3='[1]Base de datos '!$K$9,'[1]Base de datos '!G319)))))</f>
        <v>628</v>
      </c>
      <c r="B321" s="17" t="str">
        <f t="shared" si="5"/>
        <v>ALTO</v>
      </c>
      <c r="C321" s="18" t="s">
        <v>14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</row>
    <row r="322" spans="1:21" ht="15.75" customHeight="1" x14ac:dyDescent="0.25">
      <c r="A322" s="16">
        <f>IF($A$3='[1]Base de datos '!$K$5,'[1]Base de datos '!C320,IF($A$3='[1]Base de datos '!$K$6,'[1]Base de datos '!D320,IF($A$3='[1]Base de datos '!$K$7,'[1]Base de datos '!E320,IF($A$3='[1]Base de datos '!$K$8,'[1]Base de datos '!F320,IF($A$3='[1]Base de datos '!$K$9,'[1]Base de datos '!G320)))))</f>
        <v>424</v>
      </c>
      <c r="B322" s="17" t="str">
        <f t="shared" si="5"/>
        <v>MEDIO</v>
      </c>
      <c r="C322" s="18" t="s">
        <v>17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</row>
    <row r="323" spans="1:21" ht="15.75" customHeight="1" x14ac:dyDescent="0.25">
      <c r="A323" s="16">
        <f>IF($A$3='[1]Base de datos '!$K$5,'[1]Base de datos '!C321,IF($A$3='[1]Base de datos '!$K$6,'[1]Base de datos '!D321,IF($A$3='[1]Base de datos '!$K$7,'[1]Base de datos '!E321,IF($A$3='[1]Base de datos '!$K$8,'[1]Base de datos '!F321,IF($A$3='[1]Base de datos '!$K$9,'[1]Base de datos '!G321)))))</f>
        <v>413</v>
      </c>
      <c r="B323" s="17" t="str">
        <f t="shared" si="5"/>
        <v>MEDIO</v>
      </c>
      <c r="C323" s="18" t="s">
        <v>18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</row>
    <row r="324" spans="1:21" ht="15.75" customHeight="1" x14ac:dyDescent="0.25">
      <c r="A324" s="16">
        <f>IF($A$3='[1]Base de datos '!$K$5,'[1]Base de datos '!C322,IF($A$3='[1]Base de datos '!$K$6,'[1]Base de datos '!D322,IF($A$3='[1]Base de datos '!$K$7,'[1]Base de datos '!E322,IF($A$3='[1]Base de datos '!$K$8,'[1]Base de datos '!F322,IF($A$3='[1]Base de datos '!$K$9,'[1]Base de datos '!G322)))))</f>
        <v>848</v>
      </c>
      <c r="B324" s="17" t="str">
        <f t="shared" si="5"/>
        <v>ALTO</v>
      </c>
      <c r="C324" s="18" t="s">
        <v>8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</row>
    <row r="325" spans="1:21" ht="15.75" customHeight="1" x14ac:dyDescent="0.25">
      <c r="A325" s="16">
        <f>IF($A$3='[1]Base de datos '!$K$5,'[1]Base de datos '!C323,IF($A$3='[1]Base de datos '!$K$6,'[1]Base de datos '!D323,IF($A$3='[1]Base de datos '!$K$7,'[1]Base de datos '!E323,IF($A$3='[1]Base de datos '!$K$8,'[1]Base de datos '!F323,IF($A$3='[1]Base de datos '!$K$9,'[1]Base de datos '!G323)))))</f>
        <v>465</v>
      </c>
      <c r="B325" s="17" t="str">
        <f t="shared" si="5"/>
        <v>MEDIO</v>
      </c>
      <c r="C325" s="18" t="s">
        <v>18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</row>
    <row r="326" spans="1:21" ht="15.75" customHeight="1" x14ac:dyDescent="0.25">
      <c r="A326" s="16">
        <f>IF($A$3='[1]Base de datos '!$K$5,'[1]Base de datos '!C324,IF($A$3='[1]Base de datos '!$K$6,'[1]Base de datos '!D324,IF($A$3='[1]Base de datos '!$K$7,'[1]Base de datos '!E324,IF($A$3='[1]Base de datos '!$K$8,'[1]Base de datos '!F324,IF($A$3='[1]Base de datos '!$K$9,'[1]Base de datos '!G324)))))</f>
        <v>695</v>
      </c>
      <c r="B326" s="17" t="str">
        <f t="shared" ref="B326:B389" si="6">IF(A326&lt;=$I$5,"BAJO",IF(A326&lt;=$I$6,"MEDIO","ALTO"))</f>
        <v>ALTO</v>
      </c>
      <c r="C326" s="18" t="s">
        <v>11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</row>
    <row r="327" spans="1:21" ht="15.75" customHeight="1" x14ac:dyDescent="0.25">
      <c r="A327" s="16">
        <f>IF($A$3='[1]Base de datos '!$K$5,'[1]Base de datos '!C325,IF($A$3='[1]Base de datos '!$K$6,'[1]Base de datos '!D325,IF($A$3='[1]Base de datos '!$K$7,'[1]Base de datos '!E325,IF($A$3='[1]Base de datos '!$K$8,'[1]Base de datos '!F325,IF($A$3='[1]Base de datos '!$K$9,'[1]Base de datos '!G325)))))</f>
        <v>891</v>
      </c>
      <c r="B327" s="17" t="str">
        <f t="shared" si="6"/>
        <v>ALTO</v>
      </c>
      <c r="C327" s="18" t="s">
        <v>6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</row>
    <row r="328" spans="1:21" ht="15.75" customHeight="1" x14ac:dyDescent="0.25">
      <c r="A328" s="16">
        <f>IF($A$3='[1]Base de datos '!$K$5,'[1]Base de datos '!C326,IF($A$3='[1]Base de datos '!$K$6,'[1]Base de datos '!D326,IF($A$3='[1]Base de datos '!$K$7,'[1]Base de datos '!E326,IF($A$3='[1]Base de datos '!$K$8,'[1]Base de datos '!F326,IF($A$3='[1]Base de datos '!$K$9,'[1]Base de datos '!G326)))))</f>
        <v>1022</v>
      </c>
      <c r="B328" s="17" t="str">
        <f t="shared" si="6"/>
        <v>ALTO</v>
      </c>
      <c r="C328" s="18" t="s">
        <v>18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</row>
    <row r="329" spans="1:21" ht="15.75" customHeight="1" x14ac:dyDescent="0.25">
      <c r="A329" s="16">
        <f>IF($A$3='[1]Base de datos '!$K$5,'[1]Base de datos '!C327,IF($A$3='[1]Base de datos '!$K$6,'[1]Base de datos '!D327,IF($A$3='[1]Base de datos '!$K$7,'[1]Base de datos '!E327,IF($A$3='[1]Base de datos '!$K$8,'[1]Base de datos '!F327,IF($A$3='[1]Base de datos '!$K$9,'[1]Base de datos '!G327)))))</f>
        <v>975</v>
      </c>
      <c r="B329" s="17" t="str">
        <f t="shared" si="6"/>
        <v>ALTO</v>
      </c>
      <c r="C329" s="18" t="s">
        <v>8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</row>
    <row r="330" spans="1:21" ht="15.75" customHeight="1" x14ac:dyDescent="0.25">
      <c r="A330" s="16">
        <f>IF($A$3='[1]Base de datos '!$K$5,'[1]Base de datos '!C328,IF($A$3='[1]Base de datos '!$K$6,'[1]Base de datos '!D328,IF($A$3='[1]Base de datos '!$K$7,'[1]Base de datos '!E328,IF($A$3='[1]Base de datos '!$K$8,'[1]Base de datos '!F328,IF($A$3='[1]Base de datos '!$K$9,'[1]Base de datos '!G328)))))</f>
        <v>453</v>
      </c>
      <c r="B330" s="17" t="str">
        <f t="shared" si="6"/>
        <v>MEDIO</v>
      </c>
      <c r="C330" s="18" t="s">
        <v>14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</row>
    <row r="331" spans="1:21" ht="15.75" customHeight="1" x14ac:dyDescent="0.25">
      <c r="A331" s="16">
        <f>IF($A$3='[1]Base de datos '!$K$5,'[1]Base de datos '!C329,IF($A$3='[1]Base de datos '!$K$6,'[1]Base de datos '!D329,IF($A$3='[1]Base de datos '!$K$7,'[1]Base de datos '!E329,IF($A$3='[1]Base de datos '!$K$8,'[1]Base de datos '!F329,IF($A$3='[1]Base de datos '!$K$9,'[1]Base de datos '!G329)))))</f>
        <v>226</v>
      </c>
      <c r="B331" s="17" t="str">
        <f t="shared" si="6"/>
        <v>BAJO</v>
      </c>
      <c r="C331" s="18" t="s">
        <v>6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</row>
    <row r="332" spans="1:21" ht="15.75" customHeight="1" x14ac:dyDescent="0.25">
      <c r="A332" s="16">
        <f>IF($A$3='[1]Base de datos '!$K$5,'[1]Base de datos '!C330,IF($A$3='[1]Base de datos '!$K$6,'[1]Base de datos '!D330,IF($A$3='[1]Base de datos '!$K$7,'[1]Base de datos '!E330,IF($A$3='[1]Base de datos '!$K$8,'[1]Base de datos '!F330,IF($A$3='[1]Base de datos '!$K$9,'[1]Base de datos '!G330)))))</f>
        <v>533</v>
      </c>
      <c r="B332" s="17" t="str">
        <f t="shared" si="6"/>
        <v>MEDIO</v>
      </c>
      <c r="C332" s="18" t="s">
        <v>18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</row>
    <row r="333" spans="1:21" ht="15.75" customHeight="1" x14ac:dyDescent="0.25">
      <c r="A333" s="16">
        <f>IF($A$3='[1]Base de datos '!$K$5,'[1]Base de datos '!C331,IF($A$3='[1]Base de datos '!$K$6,'[1]Base de datos '!D331,IF($A$3='[1]Base de datos '!$K$7,'[1]Base de datos '!E331,IF($A$3='[1]Base de datos '!$K$8,'[1]Base de datos '!F331,IF($A$3='[1]Base de datos '!$K$9,'[1]Base de datos '!G331)))))</f>
        <v>489</v>
      </c>
      <c r="B333" s="17" t="str">
        <f t="shared" si="6"/>
        <v>MEDIO</v>
      </c>
      <c r="C333" s="18" t="s">
        <v>17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</row>
    <row r="334" spans="1:21" ht="15.75" customHeight="1" x14ac:dyDescent="0.25">
      <c r="A334" s="16">
        <f>IF($A$3='[1]Base de datos '!$K$5,'[1]Base de datos '!C332,IF($A$3='[1]Base de datos '!$K$6,'[1]Base de datos '!D332,IF($A$3='[1]Base de datos '!$K$7,'[1]Base de datos '!E332,IF($A$3='[1]Base de datos '!$K$8,'[1]Base de datos '!F332,IF($A$3='[1]Base de datos '!$K$9,'[1]Base de datos '!G332)))))</f>
        <v>590</v>
      </c>
      <c r="B334" s="17" t="str">
        <f t="shared" si="6"/>
        <v>MEDIO</v>
      </c>
      <c r="C334" s="18" t="s">
        <v>19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</row>
    <row r="335" spans="1:21" ht="15.75" customHeight="1" x14ac:dyDescent="0.25">
      <c r="A335" s="16">
        <f>IF($A$3='[1]Base de datos '!$K$5,'[1]Base de datos '!C333,IF($A$3='[1]Base de datos '!$K$6,'[1]Base de datos '!D333,IF($A$3='[1]Base de datos '!$K$7,'[1]Base de datos '!E333,IF($A$3='[1]Base de datos '!$K$8,'[1]Base de datos '!F333,IF($A$3='[1]Base de datos '!$K$9,'[1]Base de datos '!G333)))))</f>
        <v>540</v>
      </c>
      <c r="B335" s="17" t="str">
        <f t="shared" si="6"/>
        <v>MEDIO</v>
      </c>
      <c r="C335" s="18" t="s">
        <v>18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</row>
    <row r="336" spans="1:21" ht="15.75" customHeight="1" x14ac:dyDescent="0.25">
      <c r="A336" s="16">
        <f>IF($A$3='[1]Base de datos '!$K$5,'[1]Base de datos '!C334,IF($A$3='[1]Base de datos '!$K$6,'[1]Base de datos '!D334,IF($A$3='[1]Base de datos '!$K$7,'[1]Base de datos '!E334,IF($A$3='[1]Base de datos '!$K$8,'[1]Base de datos '!F334,IF($A$3='[1]Base de datos '!$K$9,'[1]Base de datos '!G334)))))</f>
        <v>574</v>
      </c>
      <c r="B336" s="17" t="str">
        <f t="shared" si="6"/>
        <v>MEDIO</v>
      </c>
      <c r="C336" s="18" t="s">
        <v>8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</row>
    <row r="337" spans="1:21" ht="15.75" customHeight="1" x14ac:dyDescent="0.25">
      <c r="A337" s="16">
        <f>IF($A$3='[1]Base de datos '!$K$5,'[1]Base de datos '!C335,IF($A$3='[1]Base de datos '!$K$6,'[1]Base de datos '!D335,IF($A$3='[1]Base de datos '!$K$7,'[1]Base de datos '!E335,IF($A$3='[1]Base de datos '!$K$8,'[1]Base de datos '!F335,IF($A$3='[1]Base de datos '!$K$9,'[1]Base de datos '!G335)))))</f>
        <v>144</v>
      </c>
      <c r="B337" s="17" t="str">
        <f t="shared" si="6"/>
        <v>BAJO</v>
      </c>
      <c r="C337" s="18" t="s">
        <v>19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</row>
    <row r="338" spans="1:21" ht="15.75" customHeight="1" x14ac:dyDescent="0.25">
      <c r="A338" s="16">
        <f>IF($A$3='[1]Base de datos '!$K$5,'[1]Base de datos '!C336,IF($A$3='[1]Base de datos '!$K$6,'[1]Base de datos '!D336,IF($A$3='[1]Base de datos '!$K$7,'[1]Base de datos '!E336,IF($A$3='[1]Base de datos '!$K$8,'[1]Base de datos '!F336,IF($A$3='[1]Base de datos '!$K$9,'[1]Base de datos '!G336)))))</f>
        <v>689</v>
      </c>
      <c r="B338" s="17" t="str">
        <f t="shared" si="6"/>
        <v>ALTO</v>
      </c>
      <c r="C338" s="18" t="s">
        <v>17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</row>
    <row r="339" spans="1:21" ht="15.75" customHeight="1" x14ac:dyDescent="0.25">
      <c r="A339" s="16">
        <f>IF($A$3='[1]Base de datos '!$K$5,'[1]Base de datos '!C337,IF($A$3='[1]Base de datos '!$K$6,'[1]Base de datos '!D337,IF($A$3='[1]Base de datos '!$K$7,'[1]Base de datos '!E337,IF($A$3='[1]Base de datos '!$K$8,'[1]Base de datos '!F337,IF($A$3='[1]Base de datos '!$K$9,'[1]Base de datos '!G337)))))</f>
        <v>1081</v>
      </c>
      <c r="B339" s="17" t="str">
        <f t="shared" si="6"/>
        <v>ALTO</v>
      </c>
      <c r="C339" s="18" t="s">
        <v>14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</row>
    <row r="340" spans="1:21" ht="15.75" customHeight="1" x14ac:dyDescent="0.25">
      <c r="A340" s="16">
        <f>IF($A$3='[1]Base de datos '!$K$5,'[1]Base de datos '!C338,IF($A$3='[1]Base de datos '!$K$6,'[1]Base de datos '!D338,IF($A$3='[1]Base de datos '!$K$7,'[1]Base de datos '!E338,IF($A$3='[1]Base de datos '!$K$8,'[1]Base de datos '!F338,IF($A$3='[1]Base de datos '!$K$9,'[1]Base de datos '!G338)))))</f>
        <v>1057</v>
      </c>
      <c r="B340" s="17" t="str">
        <f t="shared" si="6"/>
        <v>ALTO</v>
      </c>
      <c r="C340" s="18" t="s">
        <v>17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</row>
    <row r="341" spans="1:21" ht="15.75" customHeight="1" x14ac:dyDescent="0.25">
      <c r="A341" s="16">
        <f>IF($A$3='[1]Base de datos '!$K$5,'[1]Base de datos '!C339,IF($A$3='[1]Base de datos '!$K$6,'[1]Base de datos '!D339,IF($A$3='[1]Base de datos '!$K$7,'[1]Base de datos '!E339,IF($A$3='[1]Base de datos '!$K$8,'[1]Base de datos '!F339,IF($A$3='[1]Base de datos '!$K$9,'[1]Base de datos '!G339)))))</f>
        <v>759</v>
      </c>
      <c r="B341" s="17" t="str">
        <f t="shared" si="6"/>
        <v>ALTO</v>
      </c>
      <c r="C341" s="18" t="s">
        <v>8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</row>
    <row r="342" spans="1:21" ht="15.75" customHeight="1" x14ac:dyDescent="0.25">
      <c r="A342" s="16">
        <f>IF($A$3='[1]Base de datos '!$K$5,'[1]Base de datos '!C340,IF($A$3='[1]Base de datos '!$K$6,'[1]Base de datos '!D340,IF($A$3='[1]Base de datos '!$K$7,'[1]Base de datos '!E340,IF($A$3='[1]Base de datos '!$K$8,'[1]Base de datos '!F340,IF($A$3='[1]Base de datos '!$K$9,'[1]Base de datos '!G340)))))</f>
        <v>787</v>
      </c>
      <c r="B342" s="17" t="str">
        <f t="shared" si="6"/>
        <v>ALTO</v>
      </c>
      <c r="C342" s="18" t="s">
        <v>14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</row>
    <row r="343" spans="1:21" ht="15.75" customHeight="1" x14ac:dyDescent="0.25">
      <c r="A343" s="16">
        <f>IF($A$3='[1]Base de datos '!$K$5,'[1]Base de datos '!C341,IF($A$3='[1]Base de datos '!$K$6,'[1]Base de datos '!D341,IF($A$3='[1]Base de datos '!$K$7,'[1]Base de datos '!E341,IF($A$3='[1]Base de datos '!$K$8,'[1]Base de datos '!F341,IF($A$3='[1]Base de datos '!$K$9,'[1]Base de datos '!G341)))))</f>
        <v>412</v>
      </c>
      <c r="B343" s="17" t="str">
        <f t="shared" si="6"/>
        <v>MEDIO</v>
      </c>
      <c r="C343" s="18" t="s">
        <v>17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</row>
    <row r="344" spans="1:21" ht="15.75" customHeight="1" x14ac:dyDescent="0.25">
      <c r="A344" s="16">
        <f>IF($A$3='[1]Base de datos '!$K$5,'[1]Base de datos '!C342,IF($A$3='[1]Base de datos '!$K$6,'[1]Base de datos '!D342,IF($A$3='[1]Base de datos '!$K$7,'[1]Base de datos '!E342,IF($A$3='[1]Base de datos '!$K$8,'[1]Base de datos '!F342,IF($A$3='[1]Base de datos '!$K$9,'[1]Base de datos '!G342)))))</f>
        <v>491</v>
      </c>
      <c r="B344" s="17" t="str">
        <f t="shared" si="6"/>
        <v>MEDIO</v>
      </c>
      <c r="C344" s="18" t="s">
        <v>6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</row>
    <row r="345" spans="1:21" ht="15.75" customHeight="1" x14ac:dyDescent="0.25">
      <c r="A345" s="16">
        <f>IF($A$3='[1]Base de datos '!$K$5,'[1]Base de datos '!C343,IF($A$3='[1]Base de datos '!$K$6,'[1]Base de datos '!D343,IF($A$3='[1]Base de datos '!$K$7,'[1]Base de datos '!E343,IF($A$3='[1]Base de datos '!$K$8,'[1]Base de datos '!F343,IF($A$3='[1]Base de datos '!$K$9,'[1]Base de datos '!G343)))))</f>
        <v>1170</v>
      </c>
      <c r="B345" s="17" t="str">
        <f t="shared" si="6"/>
        <v>ALTO</v>
      </c>
      <c r="C345" s="18" t="s">
        <v>19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</row>
    <row r="346" spans="1:21" ht="15.75" customHeight="1" x14ac:dyDescent="0.25">
      <c r="A346" s="16">
        <f>IF($A$3='[1]Base de datos '!$K$5,'[1]Base de datos '!C344,IF($A$3='[1]Base de datos '!$K$6,'[1]Base de datos '!D344,IF($A$3='[1]Base de datos '!$K$7,'[1]Base de datos '!E344,IF($A$3='[1]Base de datos '!$K$8,'[1]Base de datos '!F344,IF($A$3='[1]Base de datos '!$K$9,'[1]Base de datos '!G344)))))</f>
        <v>690</v>
      </c>
      <c r="B346" s="17" t="str">
        <f t="shared" si="6"/>
        <v>ALTO</v>
      </c>
      <c r="C346" s="18" t="s">
        <v>18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</row>
    <row r="347" spans="1:21" ht="15.75" customHeight="1" x14ac:dyDescent="0.25">
      <c r="A347" s="16">
        <f>IF($A$3='[1]Base de datos '!$K$5,'[1]Base de datos '!C345,IF($A$3='[1]Base de datos '!$K$6,'[1]Base de datos '!D345,IF($A$3='[1]Base de datos '!$K$7,'[1]Base de datos '!E345,IF($A$3='[1]Base de datos '!$K$8,'[1]Base de datos '!F345,IF($A$3='[1]Base de datos '!$K$9,'[1]Base de datos '!G345)))))</f>
        <v>934</v>
      </c>
      <c r="B347" s="17" t="str">
        <f t="shared" si="6"/>
        <v>ALTO</v>
      </c>
      <c r="C347" s="18" t="s">
        <v>6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</row>
    <row r="348" spans="1:21" ht="15.75" customHeight="1" x14ac:dyDescent="0.25">
      <c r="A348" s="16">
        <f>IF($A$3='[1]Base de datos '!$K$5,'[1]Base de datos '!C346,IF($A$3='[1]Base de datos '!$K$6,'[1]Base de datos '!D346,IF($A$3='[1]Base de datos '!$K$7,'[1]Base de datos '!E346,IF($A$3='[1]Base de datos '!$K$8,'[1]Base de datos '!F346,IF($A$3='[1]Base de datos '!$K$9,'[1]Base de datos '!G346)))))</f>
        <v>634</v>
      </c>
      <c r="B348" s="17" t="str">
        <f t="shared" si="6"/>
        <v>ALTO</v>
      </c>
      <c r="C348" s="18" t="s">
        <v>8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</row>
    <row r="349" spans="1:21" ht="15.75" customHeight="1" x14ac:dyDescent="0.25">
      <c r="A349" s="16">
        <f>IF($A$3='[1]Base de datos '!$K$5,'[1]Base de datos '!C347,IF($A$3='[1]Base de datos '!$K$6,'[1]Base de datos '!D347,IF($A$3='[1]Base de datos '!$K$7,'[1]Base de datos '!E347,IF($A$3='[1]Base de datos '!$K$8,'[1]Base de datos '!F347,IF($A$3='[1]Base de datos '!$K$9,'[1]Base de datos '!G347)))))</f>
        <v>753</v>
      </c>
      <c r="B349" s="17" t="str">
        <f t="shared" si="6"/>
        <v>ALTO</v>
      </c>
      <c r="C349" s="18" t="s">
        <v>11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</row>
    <row r="350" spans="1:21" ht="15.75" customHeight="1" x14ac:dyDescent="0.25">
      <c r="A350" s="16">
        <f>IF($A$3='[1]Base de datos '!$K$5,'[1]Base de datos '!C348,IF($A$3='[1]Base de datos '!$K$6,'[1]Base de datos '!D348,IF($A$3='[1]Base de datos '!$K$7,'[1]Base de datos '!E348,IF($A$3='[1]Base de datos '!$K$8,'[1]Base de datos '!F348,IF($A$3='[1]Base de datos '!$K$9,'[1]Base de datos '!G348)))))</f>
        <v>808</v>
      </c>
      <c r="B350" s="17" t="str">
        <f t="shared" si="6"/>
        <v>ALTO</v>
      </c>
      <c r="C350" s="18" t="s">
        <v>11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</row>
    <row r="351" spans="1:21" ht="15.75" customHeight="1" x14ac:dyDescent="0.25">
      <c r="A351" s="16">
        <f>IF($A$3='[1]Base de datos '!$K$5,'[1]Base de datos '!C349,IF($A$3='[1]Base de datos '!$K$6,'[1]Base de datos '!D349,IF($A$3='[1]Base de datos '!$K$7,'[1]Base de datos '!E349,IF($A$3='[1]Base de datos '!$K$8,'[1]Base de datos '!F349,IF($A$3='[1]Base de datos '!$K$9,'[1]Base de datos '!G349)))))</f>
        <v>776</v>
      </c>
      <c r="B351" s="17" t="str">
        <f t="shared" si="6"/>
        <v>ALTO</v>
      </c>
      <c r="C351" s="18" t="s">
        <v>18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</row>
    <row r="352" spans="1:21" ht="15.75" customHeight="1" x14ac:dyDescent="0.25">
      <c r="A352" s="16">
        <f>IF($A$3='[1]Base de datos '!$K$5,'[1]Base de datos '!C350,IF($A$3='[1]Base de datos '!$K$6,'[1]Base de datos '!D350,IF($A$3='[1]Base de datos '!$K$7,'[1]Base de datos '!E350,IF($A$3='[1]Base de datos '!$K$8,'[1]Base de datos '!F350,IF($A$3='[1]Base de datos '!$K$9,'[1]Base de datos '!G350)))))</f>
        <v>343</v>
      </c>
      <c r="B352" s="17" t="str">
        <f t="shared" si="6"/>
        <v>MEDIO</v>
      </c>
      <c r="C352" s="18" t="s">
        <v>8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</row>
    <row r="353" spans="1:21" ht="15.75" customHeight="1" x14ac:dyDescent="0.25">
      <c r="A353" s="16">
        <f>IF($A$3='[1]Base de datos '!$K$5,'[1]Base de datos '!C351,IF($A$3='[1]Base de datos '!$K$6,'[1]Base de datos '!D351,IF($A$3='[1]Base de datos '!$K$7,'[1]Base de datos '!E351,IF($A$3='[1]Base de datos '!$K$8,'[1]Base de datos '!F351,IF($A$3='[1]Base de datos '!$K$9,'[1]Base de datos '!G351)))))</f>
        <v>550</v>
      </c>
      <c r="B353" s="17" t="str">
        <f t="shared" si="6"/>
        <v>MEDIO</v>
      </c>
      <c r="C353" s="18" t="s">
        <v>19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</row>
    <row r="354" spans="1:21" ht="15.75" customHeight="1" x14ac:dyDescent="0.25">
      <c r="A354" s="16">
        <f>IF($A$3='[1]Base de datos '!$K$5,'[1]Base de datos '!C352,IF($A$3='[1]Base de datos '!$K$6,'[1]Base de datos '!D352,IF($A$3='[1]Base de datos '!$K$7,'[1]Base de datos '!E352,IF($A$3='[1]Base de datos '!$K$8,'[1]Base de datos '!F352,IF($A$3='[1]Base de datos '!$K$9,'[1]Base de datos '!G352)))))</f>
        <v>1156</v>
      </c>
      <c r="B354" s="17" t="str">
        <f t="shared" si="6"/>
        <v>ALTO</v>
      </c>
      <c r="C354" s="18" t="s">
        <v>8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</row>
    <row r="355" spans="1:21" ht="15.75" customHeight="1" x14ac:dyDescent="0.25">
      <c r="A355" s="16">
        <f>IF($A$3='[1]Base de datos '!$K$5,'[1]Base de datos '!C353,IF($A$3='[1]Base de datos '!$K$6,'[1]Base de datos '!D353,IF($A$3='[1]Base de datos '!$K$7,'[1]Base de datos '!E353,IF($A$3='[1]Base de datos '!$K$8,'[1]Base de datos '!F353,IF($A$3='[1]Base de datos '!$K$9,'[1]Base de datos '!G353)))))</f>
        <v>604</v>
      </c>
      <c r="B355" s="17" t="str">
        <f t="shared" si="6"/>
        <v>MEDIO</v>
      </c>
      <c r="C355" s="18" t="s">
        <v>17</v>
      </c>
      <c r="D355"/>
      <c r="E355"/>
      <c r="F355"/>
      <c r="G355"/>
      <c r="H355"/>
      <c r="I355"/>
      <c r="J355"/>
      <c r="K355"/>
      <c r="L355"/>
      <c r="M355"/>
      <c r="N355"/>
      <c r="O355"/>
    </row>
    <row r="356" spans="1:21" ht="15.75" customHeight="1" x14ac:dyDescent="0.25">
      <c r="A356" s="16">
        <f>IF($A$3='[1]Base de datos '!$K$5,'[1]Base de datos '!C354,IF($A$3='[1]Base de datos '!$K$6,'[1]Base de datos '!D354,IF($A$3='[1]Base de datos '!$K$7,'[1]Base de datos '!E354,IF($A$3='[1]Base de datos '!$K$8,'[1]Base de datos '!F354,IF($A$3='[1]Base de datos '!$K$9,'[1]Base de datos '!G354)))))</f>
        <v>918</v>
      </c>
      <c r="B356" s="17" t="str">
        <f t="shared" si="6"/>
        <v>ALTO</v>
      </c>
      <c r="C356" s="18" t="s">
        <v>18</v>
      </c>
      <c r="D356"/>
      <c r="E356"/>
      <c r="F356"/>
      <c r="G356"/>
      <c r="H356"/>
      <c r="I356"/>
      <c r="J356"/>
      <c r="K356"/>
      <c r="L356"/>
      <c r="M356"/>
      <c r="N356"/>
      <c r="O356"/>
    </row>
    <row r="357" spans="1:21" ht="15.75" customHeight="1" x14ac:dyDescent="0.25">
      <c r="A357" s="16">
        <f>IF($A$3='[1]Base de datos '!$K$5,'[1]Base de datos '!C355,IF($A$3='[1]Base de datos '!$K$6,'[1]Base de datos '!D355,IF($A$3='[1]Base de datos '!$K$7,'[1]Base de datos '!E355,IF($A$3='[1]Base de datos '!$K$8,'[1]Base de datos '!F355,IF($A$3='[1]Base de datos '!$K$9,'[1]Base de datos '!G355)))))</f>
        <v>580</v>
      </c>
      <c r="B357" s="17" t="str">
        <f t="shared" si="6"/>
        <v>MEDIO</v>
      </c>
      <c r="C357" s="18" t="s">
        <v>18</v>
      </c>
      <c r="D357"/>
      <c r="E357"/>
      <c r="F357"/>
      <c r="G357"/>
      <c r="H357"/>
      <c r="I357"/>
      <c r="J357"/>
      <c r="K357"/>
      <c r="L357"/>
      <c r="M357"/>
      <c r="N357"/>
      <c r="O357"/>
    </row>
    <row r="358" spans="1:21" ht="15.75" customHeight="1" x14ac:dyDescent="0.25">
      <c r="A358" s="16">
        <f>IF($A$3='[1]Base de datos '!$K$5,'[1]Base de datos '!C356,IF($A$3='[1]Base de datos '!$K$6,'[1]Base de datos '!D356,IF($A$3='[1]Base de datos '!$K$7,'[1]Base de datos '!E356,IF($A$3='[1]Base de datos '!$K$8,'[1]Base de datos '!F356,IF($A$3='[1]Base de datos '!$K$9,'[1]Base de datos '!G356)))))</f>
        <v>303</v>
      </c>
      <c r="B358" s="17" t="str">
        <f t="shared" si="6"/>
        <v>BAJO</v>
      </c>
      <c r="C358" s="18" t="s">
        <v>18</v>
      </c>
      <c r="D358"/>
      <c r="E358"/>
      <c r="F358"/>
      <c r="G358"/>
      <c r="H358"/>
      <c r="I358"/>
      <c r="J358"/>
      <c r="K358"/>
      <c r="L358"/>
      <c r="M358"/>
      <c r="N358"/>
      <c r="O358"/>
    </row>
    <row r="359" spans="1:21" ht="15.75" customHeight="1" x14ac:dyDescent="0.25">
      <c r="A359" s="16">
        <f>IF($A$3='[1]Base de datos '!$K$5,'[1]Base de datos '!C357,IF($A$3='[1]Base de datos '!$K$6,'[1]Base de datos '!D357,IF($A$3='[1]Base de datos '!$K$7,'[1]Base de datos '!E357,IF($A$3='[1]Base de datos '!$K$8,'[1]Base de datos '!F357,IF($A$3='[1]Base de datos '!$K$9,'[1]Base de datos '!G357)))))</f>
        <v>401</v>
      </c>
      <c r="B359" s="17" t="str">
        <f t="shared" si="6"/>
        <v>MEDIO</v>
      </c>
      <c r="C359" s="18" t="s">
        <v>17</v>
      </c>
      <c r="D359"/>
      <c r="E359"/>
      <c r="F359"/>
      <c r="G359"/>
      <c r="H359"/>
      <c r="I359"/>
      <c r="J359"/>
      <c r="K359"/>
      <c r="L359"/>
      <c r="M359"/>
      <c r="N359"/>
      <c r="O359"/>
    </row>
    <row r="360" spans="1:21" ht="15.75" customHeight="1" x14ac:dyDescent="0.25">
      <c r="A360" s="16">
        <f>IF($A$3='[1]Base de datos '!$K$5,'[1]Base de datos '!C358,IF($A$3='[1]Base de datos '!$K$6,'[1]Base de datos '!D358,IF($A$3='[1]Base de datos '!$K$7,'[1]Base de datos '!E358,IF($A$3='[1]Base de datos '!$K$8,'[1]Base de datos '!F358,IF($A$3='[1]Base de datos '!$K$9,'[1]Base de datos '!G358)))))</f>
        <v>227</v>
      </c>
      <c r="B360" s="17" t="str">
        <f t="shared" si="6"/>
        <v>BAJO</v>
      </c>
      <c r="C360" s="18" t="s">
        <v>18</v>
      </c>
      <c r="D360"/>
      <c r="E360"/>
      <c r="F360"/>
      <c r="G360"/>
      <c r="H360"/>
      <c r="I360"/>
      <c r="J360"/>
      <c r="K360"/>
      <c r="L360"/>
      <c r="M360"/>
      <c r="N360"/>
      <c r="O360"/>
    </row>
    <row r="361" spans="1:21" ht="15.75" customHeight="1" x14ac:dyDescent="0.25">
      <c r="A361" s="16">
        <f>IF($A$3='[1]Base de datos '!$K$5,'[1]Base de datos '!C359,IF($A$3='[1]Base de datos '!$K$6,'[1]Base de datos '!D359,IF($A$3='[1]Base de datos '!$K$7,'[1]Base de datos '!E359,IF($A$3='[1]Base de datos '!$K$8,'[1]Base de datos '!F359,IF($A$3='[1]Base de datos '!$K$9,'[1]Base de datos '!G359)))))</f>
        <v>146</v>
      </c>
      <c r="B361" s="17" t="str">
        <f t="shared" si="6"/>
        <v>BAJO</v>
      </c>
      <c r="C361" s="18" t="s">
        <v>6</v>
      </c>
      <c r="D361"/>
      <c r="E361"/>
      <c r="F361"/>
      <c r="G361"/>
      <c r="H361"/>
      <c r="I361"/>
      <c r="J361"/>
      <c r="K361"/>
      <c r="L361"/>
      <c r="M361"/>
      <c r="N361"/>
      <c r="O361"/>
    </row>
    <row r="362" spans="1:21" ht="15.75" customHeight="1" x14ac:dyDescent="0.25">
      <c r="A362" s="16">
        <f>IF($A$3='[1]Base de datos '!$K$5,'[1]Base de datos '!C360,IF($A$3='[1]Base de datos '!$K$6,'[1]Base de datos '!D360,IF($A$3='[1]Base de datos '!$K$7,'[1]Base de datos '!E360,IF($A$3='[1]Base de datos '!$K$8,'[1]Base de datos '!F360,IF($A$3='[1]Base de datos '!$K$9,'[1]Base de datos '!G360)))))</f>
        <v>524</v>
      </c>
      <c r="B362" s="17" t="str">
        <f t="shared" si="6"/>
        <v>MEDIO</v>
      </c>
      <c r="C362" s="18" t="s">
        <v>6</v>
      </c>
      <c r="D362"/>
      <c r="E362"/>
      <c r="F362"/>
      <c r="G362"/>
      <c r="H362"/>
      <c r="I362"/>
      <c r="J362"/>
      <c r="K362"/>
      <c r="L362"/>
      <c r="M362"/>
      <c r="N362"/>
      <c r="O362"/>
    </row>
    <row r="363" spans="1:21" ht="15.75" customHeight="1" x14ac:dyDescent="0.25">
      <c r="A363" s="16">
        <f>IF($A$3='[1]Base de datos '!$K$5,'[1]Base de datos '!C361,IF($A$3='[1]Base de datos '!$K$6,'[1]Base de datos '!D361,IF($A$3='[1]Base de datos '!$K$7,'[1]Base de datos '!E361,IF($A$3='[1]Base de datos '!$K$8,'[1]Base de datos '!F361,IF($A$3='[1]Base de datos '!$K$9,'[1]Base de datos '!G361)))))</f>
        <v>418</v>
      </c>
      <c r="B363" s="17" t="str">
        <f t="shared" si="6"/>
        <v>MEDIO</v>
      </c>
      <c r="C363" s="18" t="s">
        <v>14</v>
      </c>
      <c r="D363"/>
      <c r="E363"/>
      <c r="F363"/>
      <c r="G363"/>
      <c r="H363"/>
      <c r="I363"/>
      <c r="J363"/>
      <c r="K363"/>
      <c r="L363"/>
      <c r="M363"/>
      <c r="N363"/>
      <c r="O363"/>
    </row>
    <row r="364" spans="1:21" ht="15.75" customHeight="1" x14ac:dyDescent="0.25">
      <c r="A364" s="16">
        <f>IF($A$3='[1]Base de datos '!$K$5,'[1]Base de datos '!C362,IF($A$3='[1]Base de datos '!$K$6,'[1]Base de datos '!D362,IF($A$3='[1]Base de datos '!$K$7,'[1]Base de datos '!E362,IF($A$3='[1]Base de datos '!$K$8,'[1]Base de datos '!F362,IF($A$3='[1]Base de datos '!$K$9,'[1]Base de datos '!G362)))))</f>
        <v>254</v>
      </c>
      <c r="B364" s="17" t="str">
        <f t="shared" si="6"/>
        <v>BAJO</v>
      </c>
      <c r="C364" s="18" t="s">
        <v>18</v>
      </c>
      <c r="D364"/>
      <c r="E364"/>
      <c r="F364"/>
      <c r="G364"/>
      <c r="H364"/>
      <c r="I364"/>
      <c r="J364"/>
      <c r="K364"/>
      <c r="L364"/>
      <c r="M364"/>
      <c r="N364"/>
      <c r="O364"/>
    </row>
    <row r="365" spans="1:21" ht="15.75" customHeight="1" x14ac:dyDescent="0.25">
      <c r="A365" s="16">
        <f>IF($A$3='[1]Base de datos '!$K$5,'[1]Base de datos '!C363,IF($A$3='[1]Base de datos '!$K$6,'[1]Base de datos '!D363,IF($A$3='[1]Base de datos '!$K$7,'[1]Base de datos '!E363,IF($A$3='[1]Base de datos '!$K$8,'[1]Base de datos '!F363,IF($A$3='[1]Base de datos '!$K$9,'[1]Base de datos '!G363)))))</f>
        <v>405</v>
      </c>
      <c r="B365" s="17" t="str">
        <f t="shared" si="6"/>
        <v>MEDIO</v>
      </c>
      <c r="C365" s="18" t="s">
        <v>14</v>
      </c>
      <c r="D365"/>
      <c r="E365"/>
      <c r="F365"/>
      <c r="G365"/>
      <c r="H365"/>
      <c r="I365"/>
      <c r="J365"/>
      <c r="K365"/>
      <c r="L365"/>
      <c r="M365"/>
      <c r="N365"/>
      <c r="O365"/>
    </row>
    <row r="366" spans="1:21" ht="15.75" customHeight="1" x14ac:dyDescent="0.25">
      <c r="A366" s="16">
        <f>IF($A$3='[1]Base de datos '!$K$5,'[1]Base de datos '!C364,IF($A$3='[1]Base de datos '!$K$6,'[1]Base de datos '!D364,IF($A$3='[1]Base de datos '!$K$7,'[1]Base de datos '!E364,IF($A$3='[1]Base de datos '!$K$8,'[1]Base de datos '!F364,IF($A$3='[1]Base de datos '!$K$9,'[1]Base de datos '!G364)))))</f>
        <v>455</v>
      </c>
      <c r="B366" s="17" t="str">
        <f t="shared" si="6"/>
        <v>MEDIO</v>
      </c>
      <c r="C366" s="18" t="s">
        <v>11</v>
      </c>
      <c r="D366"/>
      <c r="E366"/>
      <c r="F366"/>
      <c r="G366"/>
      <c r="H366"/>
      <c r="I366"/>
      <c r="J366"/>
      <c r="K366"/>
      <c r="L366"/>
      <c r="M366"/>
      <c r="N366"/>
      <c r="O366"/>
    </row>
    <row r="367" spans="1:21" ht="15.75" customHeight="1" x14ac:dyDescent="0.25">
      <c r="A367" s="16">
        <f>IF($A$3='[1]Base de datos '!$K$5,'[1]Base de datos '!C365,IF($A$3='[1]Base de datos '!$K$6,'[1]Base de datos '!D365,IF($A$3='[1]Base de datos '!$K$7,'[1]Base de datos '!E365,IF($A$3='[1]Base de datos '!$K$8,'[1]Base de datos '!F365,IF($A$3='[1]Base de datos '!$K$9,'[1]Base de datos '!G365)))))</f>
        <v>730</v>
      </c>
      <c r="B367" s="17" t="str">
        <f t="shared" si="6"/>
        <v>ALTO</v>
      </c>
      <c r="C367" s="18" t="s">
        <v>17</v>
      </c>
      <c r="D367"/>
      <c r="E367"/>
      <c r="F367"/>
      <c r="G367"/>
      <c r="H367"/>
      <c r="I367"/>
      <c r="J367"/>
      <c r="K367"/>
      <c r="L367"/>
      <c r="M367"/>
      <c r="N367"/>
      <c r="O367"/>
    </row>
    <row r="368" spans="1:21" ht="15.75" customHeight="1" x14ac:dyDescent="0.25">
      <c r="A368" s="16">
        <f>IF($A$3='[1]Base de datos '!$K$5,'[1]Base de datos '!C366,IF($A$3='[1]Base de datos '!$K$6,'[1]Base de datos '!D366,IF($A$3='[1]Base de datos '!$K$7,'[1]Base de datos '!E366,IF($A$3='[1]Base de datos '!$K$8,'[1]Base de datos '!F366,IF($A$3='[1]Base de datos '!$K$9,'[1]Base de datos '!G366)))))</f>
        <v>736</v>
      </c>
      <c r="B368" s="17" t="str">
        <f t="shared" si="6"/>
        <v>ALTO</v>
      </c>
      <c r="C368" s="18" t="s">
        <v>17</v>
      </c>
      <c r="D368"/>
      <c r="E368"/>
      <c r="F368"/>
      <c r="G368"/>
      <c r="H368"/>
      <c r="I368"/>
      <c r="J368"/>
      <c r="K368"/>
      <c r="L368"/>
      <c r="M368"/>
      <c r="N368"/>
      <c r="O368"/>
    </row>
    <row r="369" spans="1:3" customFormat="1" ht="15.75" customHeight="1" x14ac:dyDescent="0.25">
      <c r="A369" s="16">
        <f>IF($A$3='[1]Base de datos '!$K$5,'[1]Base de datos '!C367,IF($A$3='[1]Base de datos '!$K$6,'[1]Base de datos '!D367,IF($A$3='[1]Base de datos '!$K$7,'[1]Base de datos '!E367,IF($A$3='[1]Base de datos '!$K$8,'[1]Base de datos '!F367,IF($A$3='[1]Base de datos '!$K$9,'[1]Base de datos '!G367)))))</f>
        <v>636</v>
      </c>
      <c r="B369" s="17" t="str">
        <f t="shared" si="6"/>
        <v>ALTO</v>
      </c>
      <c r="C369" s="18" t="s">
        <v>14</v>
      </c>
    </row>
    <row r="370" spans="1:3" customFormat="1" ht="15.75" customHeight="1" x14ac:dyDescent="0.25">
      <c r="A370" s="16">
        <f>IF($A$3='[1]Base de datos '!$K$5,'[1]Base de datos '!C368,IF($A$3='[1]Base de datos '!$K$6,'[1]Base de datos '!D368,IF($A$3='[1]Base de datos '!$K$7,'[1]Base de datos '!E368,IF($A$3='[1]Base de datos '!$K$8,'[1]Base de datos '!F368,IF($A$3='[1]Base de datos '!$K$9,'[1]Base de datos '!G368)))))</f>
        <v>859</v>
      </c>
      <c r="B370" s="17" t="str">
        <f t="shared" si="6"/>
        <v>ALTO</v>
      </c>
      <c r="C370" s="18" t="s">
        <v>11</v>
      </c>
    </row>
    <row r="371" spans="1:3" customFormat="1" ht="15.75" customHeight="1" x14ac:dyDescent="0.25">
      <c r="A371" s="16">
        <f>IF($A$3='[1]Base de datos '!$K$5,'[1]Base de datos '!C369,IF($A$3='[1]Base de datos '!$K$6,'[1]Base de datos '!D369,IF($A$3='[1]Base de datos '!$K$7,'[1]Base de datos '!E369,IF($A$3='[1]Base de datos '!$K$8,'[1]Base de datos '!F369,IF($A$3='[1]Base de datos '!$K$9,'[1]Base de datos '!G369)))))</f>
        <v>622</v>
      </c>
      <c r="B371" s="17" t="str">
        <f t="shared" si="6"/>
        <v>MEDIO</v>
      </c>
      <c r="C371" s="18" t="s">
        <v>19</v>
      </c>
    </row>
    <row r="372" spans="1:3" customFormat="1" ht="15.75" customHeight="1" x14ac:dyDescent="0.25">
      <c r="A372" s="16">
        <f>IF($A$3='[1]Base de datos '!$K$5,'[1]Base de datos '!C370,IF($A$3='[1]Base de datos '!$K$6,'[1]Base de datos '!D370,IF($A$3='[1]Base de datos '!$K$7,'[1]Base de datos '!E370,IF($A$3='[1]Base de datos '!$K$8,'[1]Base de datos '!F370,IF($A$3='[1]Base de datos '!$K$9,'[1]Base de datos '!G370)))))</f>
        <v>667</v>
      </c>
      <c r="B372" s="17" t="str">
        <f t="shared" si="6"/>
        <v>ALTO</v>
      </c>
      <c r="C372" s="18" t="s">
        <v>19</v>
      </c>
    </row>
    <row r="373" spans="1:3" customFormat="1" ht="15.75" customHeight="1" x14ac:dyDescent="0.25">
      <c r="A373" s="16">
        <f>IF($A$3='[1]Base de datos '!$K$5,'[1]Base de datos '!C371,IF($A$3='[1]Base de datos '!$K$6,'[1]Base de datos '!D371,IF($A$3='[1]Base de datos '!$K$7,'[1]Base de datos '!E371,IF($A$3='[1]Base de datos '!$K$8,'[1]Base de datos '!F371,IF($A$3='[1]Base de datos '!$K$9,'[1]Base de datos '!G371)))))</f>
        <v>350</v>
      </c>
      <c r="B373" s="17" t="str">
        <f t="shared" si="6"/>
        <v>MEDIO</v>
      </c>
      <c r="C373" s="18" t="s">
        <v>11</v>
      </c>
    </row>
    <row r="374" spans="1:3" customFormat="1" ht="15.75" customHeight="1" x14ac:dyDescent="0.25">
      <c r="A374" s="16">
        <f>IF($A$3='[1]Base de datos '!$K$5,'[1]Base de datos '!C372,IF($A$3='[1]Base de datos '!$K$6,'[1]Base de datos '!D372,IF($A$3='[1]Base de datos '!$K$7,'[1]Base de datos '!E372,IF($A$3='[1]Base de datos '!$K$8,'[1]Base de datos '!F372,IF($A$3='[1]Base de datos '!$K$9,'[1]Base de datos '!G372)))))</f>
        <v>429</v>
      </c>
      <c r="B374" s="17" t="str">
        <f t="shared" si="6"/>
        <v>MEDIO</v>
      </c>
      <c r="C374" s="18" t="s">
        <v>11</v>
      </c>
    </row>
    <row r="375" spans="1:3" customFormat="1" ht="15.75" customHeight="1" x14ac:dyDescent="0.25">
      <c r="A375" s="16">
        <f>IF($A$3='[1]Base de datos '!$K$5,'[1]Base de datos '!C373,IF($A$3='[1]Base de datos '!$K$6,'[1]Base de datos '!D373,IF($A$3='[1]Base de datos '!$K$7,'[1]Base de datos '!E373,IF($A$3='[1]Base de datos '!$K$8,'[1]Base de datos '!F373,IF($A$3='[1]Base de datos '!$K$9,'[1]Base de datos '!G373)))))</f>
        <v>587</v>
      </c>
      <c r="B375" s="17" t="str">
        <f t="shared" si="6"/>
        <v>MEDIO</v>
      </c>
      <c r="C375" s="18" t="s">
        <v>14</v>
      </c>
    </row>
    <row r="376" spans="1:3" customFormat="1" ht="15.75" customHeight="1" x14ac:dyDescent="0.25">
      <c r="A376" s="16">
        <f>IF($A$3='[1]Base de datos '!$K$5,'[1]Base de datos '!C374,IF($A$3='[1]Base de datos '!$K$6,'[1]Base de datos '!D374,IF($A$3='[1]Base de datos '!$K$7,'[1]Base de datos '!E374,IF($A$3='[1]Base de datos '!$K$8,'[1]Base de datos '!F374,IF($A$3='[1]Base de datos '!$K$9,'[1]Base de datos '!G374)))))</f>
        <v>505</v>
      </c>
      <c r="B376" s="17" t="str">
        <f t="shared" si="6"/>
        <v>MEDIO</v>
      </c>
      <c r="C376" s="18" t="s">
        <v>11</v>
      </c>
    </row>
    <row r="377" spans="1:3" customFormat="1" ht="15.75" customHeight="1" x14ac:dyDescent="0.25">
      <c r="A377" s="16">
        <f>IF($A$3='[1]Base de datos '!$K$5,'[1]Base de datos '!C375,IF($A$3='[1]Base de datos '!$K$6,'[1]Base de datos '!D375,IF($A$3='[1]Base de datos '!$K$7,'[1]Base de datos '!E375,IF($A$3='[1]Base de datos '!$K$8,'[1]Base de datos '!F375,IF($A$3='[1]Base de datos '!$K$9,'[1]Base de datos '!G375)))))</f>
        <v>1049</v>
      </c>
      <c r="B377" s="17" t="str">
        <f t="shared" si="6"/>
        <v>ALTO</v>
      </c>
      <c r="C377" s="18" t="s">
        <v>11</v>
      </c>
    </row>
    <row r="378" spans="1:3" customFormat="1" ht="15.75" customHeight="1" x14ac:dyDescent="0.25">
      <c r="A378" s="16">
        <f>IF($A$3='[1]Base de datos '!$K$5,'[1]Base de datos '!C376,IF($A$3='[1]Base de datos '!$K$6,'[1]Base de datos '!D376,IF($A$3='[1]Base de datos '!$K$7,'[1]Base de datos '!E376,IF($A$3='[1]Base de datos '!$K$8,'[1]Base de datos '!F376,IF($A$3='[1]Base de datos '!$K$9,'[1]Base de datos '!G376)))))</f>
        <v>751</v>
      </c>
      <c r="B378" s="17" t="str">
        <f t="shared" si="6"/>
        <v>ALTO</v>
      </c>
      <c r="C378" s="18" t="s">
        <v>17</v>
      </c>
    </row>
    <row r="379" spans="1:3" customFormat="1" ht="15.75" customHeight="1" x14ac:dyDescent="0.25">
      <c r="A379" s="16">
        <f>IF($A$3='[1]Base de datos '!$K$5,'[1]Base de datos '!C377,IF($A$3='[1]Base de datos '!$K$6,'[1]Base de datos '!D377,IF($A$3='[1]Base de datos '!$K$7,'[1]Base de datos '!E377,IF($A$3='[1]Base de datos '!$K$8,'[1]Base de datos '!F377,IF($A$3='[1]Base de datos '!$K$9,'[1]Base de datos '!G377)))))</f>
        <v>777</v>
      </c>
      <c r="B379" s="17" t="str">
        <f t="shared" si="6"/>
        <v>ALTO</v>
      </c>
      <c r="C379" s="18" t="s">
        <v>18</v>
      </c>
    </row>
    <row r="380" spans="1:3" customFormat="1" ht="15.75" customHeight="1" x14ac:dyDescent="0.25">
      <c r="A380" s="16">
        <f>IF($A$3='[1]Base de datos '!$K$5,'[1]Base de datos '!C378,IF($A$3='[1]Base de datos '!$K$6,'[1]Base de datos '!D378,IF($A$3='[1]Base de datos '!$K$7,'[1]Base de datos '!E378,IF($A$3='[1]Base de datos '!$K$8,'[1]Base de datos '!F378,IF($A$3='[1]Base de datos '!$K$9,'[1]Base de datos '!G378)))))</f>
        <v>566</v>
      </c>
      <c r="B380" s="17" t="str">
        <f t="shared" si="6"/>
        <v>MEDIO</v>
      </c>
      <c r="C380" s="18" t="s">
        <v>17</v>
      </c>
    </row>
    <row r="381" spans="1:3" customFormat="1" ht="15.75" customHeight="1" x14ac:dyDescent="0.25">
      <c r="A381" s="16">
        <f>IF($A$3='[1]Base de datos '!$K$5,'[1]Base de datos '!C379,IF($A$3='[1]Base de datos '!$K$6,'[1]Base de datos '!D379,IF($A$3='[1]Base de datos '!$K$7,'[1]Base de datos '!E379,IF($A$3='[1]Base de datos '!$K$8,'[1]Base de datos '!F379,IF($A$3='[1]Base de datos '!$K$9,'[1]Base de datos '!G379)))))</f>
        <v>705</v>
      </c>
      <c r="B381" s="17" t="str">
        <f t="shared" si="6"/>
        <v>ALTO</v>
      </c>
      <c r="C381" s="18" t="s">
        <v>8</v>
      </c>
    </row>
    <row r="382" spans="1:3" customFormat="1" ht="15.75" customHeight="1" x14ac:dyDescent="0.25">
      <c r="A382" s="16">
        <f>IF($A$3='[1]Base de datos '!$K$5,'[1]Base de datos '!C380,IF($A$3='[1]Base de datos '!$K$6,'[1]Base de datos '!D380,IF($A$3='[1]Base de datos '!$K$7,'[1]Base de datos '!E380,IF($A$3='[1]Base de datos '!$K$8,'[1]Base de datos '!F380,IF($A$3='[1]Base de datos '!$K$9,'[1]Base de datos '!G380)))))</f>
        <v>990</v>
      </c>
      <c r="B382" s="17" t="str">
        <f t="shared" si="6"/>
        <v>ALTO</v>
      </c>
      <c r="C382" s="18" t="s">
        <v>18</v>
      </c>
    </row>
    <row r="383" spans="1:3" customFormat="1" ht="15.75" customHeight="1" x14ac:dyDescent="0.25">
      <c r="A383" s="16">
        <f>IF($A$3='[1]Base de datos '!$K$5,'[1]Base de datos '!C381,IF($A$3='[1]Base de datos '!$K$6,'[1]Base de datos '!D381,IF($A$3='[1]Base de datos '!$K$7,'[1]Base de datos '!E381,IF($A$3='[1]Base de datos '!$K$8,'[1]Base de datos '!F381,IF($A$3='[1]Base de datos '!$K$9,'[1]Base de datos '!G381)))))</f>
        <v>435</v>
      </c>
      <c r="B383" s="17" t="str">
        <f t="shared" si="6"/>
        <v>MEDIO</v>
      </c>
      <c r="C383" s="18" t="s">
        <v>17</v>
      </c>
    </row>
    <row r="384" spans="1:3" customFormat="1" ht="15.75" customHeight="1" x14ac:dyDescent="0.25">
      <c r="A384" s="16">
        <f>IF($A$3='[1]Base de datos '!$K$5,'[1]Base de datos '!C382,IF($A$3='[1]Base de datos '!$K$6,'[1]Base de datos '!D382,IF($A$3='[1]Base de datos '!$K$7,'[1]Base de datos '!E382,IF($A$3='[1]Base de datos '!$K$8,'[1]Base de datos '!F382,IF($A$3='[1]Base de datos '!$K$9,'[1]Base de datos '!G382)))))</f>
        <v>915</v>
      </c>
      <c r="B384" s="17" t="str">
        <f t="shared" si="6"/>
        <v>ALTO</v>
      </c>
      <c r="C384" s="18" t="s">
        <v>18</v>
      </c>
    </row>
    <row r="385" spans="1:3" customFormat="1" ht="15.75" customHeight="1" x14ac:dyDescent="0.25">
      <c r="A385" s="16">
        <f>IF($A$3='[1]Base de datos '!$K$5,'[1]Base de datos '!C383,IF($A$3='[1]Base de datos '!$K$6,'[1]Base de datos '!D383,IF($A$3='[1]Base de datos '!$K$7,'[1]Base de datos '!E383,IF($A$3='[1]Base de datos '!$K$8,'[1]Base de datos '!F383,IF($A$3='[1]Base de datos '!$K$9,'[1]Base de datos '!G383)))))</f>
        <v>234</v>
      </c>
      <c r="B385" s="17" t="str">
        <f t="shared" si="6"/>
        <v>BAJO</v>
      </c>
      <c r="C385" s="18" t="s">
        <v>8</v>
      </c>
    </row>
    <row r="386" spans="1:3" customFormat="1" ht="15.75" customHeight="1" x14ac:dyDescent="0.25">
      <c r="A386" s="16">
        <f>IF($A$3='[1]Base de datos '!$K$5,'[1]Base de datos '!C384,IF($A$3='[1]Base de datos '!$K$6,'[1]Base de datos '!D384,IF($A$3='[1]Base de datos '!$K$7,'[1]Base de datos '!E384,IF($A$3='[1]Base de datos '!$K$8,'[1]Base de datos '!F384,IF($A$3='[1]Base de datos '!$K$9,'[1]Base de datos '!G384)))))</f>
        <v>749</v>
      </c>
      <c r="B386" s="17" t="str">
        <f t="shared" si="6"/>
        <v>ALTO</v>
      </c>
      <c r="C386" s="18" t="s">
        <v>8</v>
      </c>
    </row>
    <row r="387" spans="1:3" customFormat="1" ht="15.75" customHeight="1" x14ac:dyDescent="0.25">
      <c r="A387" s="16">
        <f>IF($A$3='[1]Base de datos '!$K$5,'[1]Base de datos '!C385,IF($A$3='[1]Base de datos '!$K$6,'[1]Base de datos '!D385,IF($A$3='[1]Base de datos '!$K$7,'[1]Base de datos '!E385,IF($A$3='[1]Base de datos '!$K$8,'[1]Base de datos '!F385,IF($A$3='[1]Base de datos '!$K$9,'[1]Base de datos '!G385)))))</f>
        <v>860</v>
      </c>
      <c r="B387" s="17" t="str">
        <f t="shared" si="6"/>
        <v>ALTO</v>
      </c>
      <c r="C387" s="18" t="s">
        <v>18</v>
      </c>
    </row>
    <row r="388" spans="1:3" customFormat="1" ht="15.75" customHeight="1" x14ac:dyDescent="0.25">
      <c r="A388" s="16">
        <f>IF($A$3='[1]Base de datos '!$K$5,'[1]Base de datos '!C386,IF($A$3='[1]Base de datos '!$K$6,'[1]Base de datos '!D386,IF($A$3='[1]Base de datos '!$K$7,'[1]Base de datos '!E386,IF($A$3='[1]Base de datos '!$K$8,'[1]Base de datos '!F386,IF($A$3='[1]Base de datos '!$K$9,'[1]Base de datos '!G386)))))</f>
        <v>855</v>
      </c>
      <c r="B388" s="17" t="str">
        <f t="shared" si="6"/>
        <v>ALTO</v>
      </c>
      <c r="C388" s="18" t="s">
        <v>18</v>
      </c>
    </row>
    <row r="389" spans="1:3" customFormat="1" ht="15.75" customHeight="1" x14ac:dyDescent="0.25">
      <c r="A389" s="16">
        <f>IF($A$3='[1]Base de datos '!$K$5,'[1]Base de datos '!C387,IF($A$3='[1]Base de datos '!$K$6,'[1]Base de datos '!D387,IF($A$3='[1]Base de datos '!$K$7,'[1]Base de datos '!E387,IF($A$3='[1]Base de datos '!$K$8,'[1]Base de datos '!F387,IF($A$3='[1]Base de datos '!$K$9,'[1]Base de datos '!G387)))))</f>
        <v>843</v>
      </c>
      <c r="B389" s="17" t="str">
        <f t="shared" si="6"/>
        <v>ALTO</v>
      </c>
      <c r="C389" s="18" t="s">
        <v>6</v>
      </c>
    </row>
    <row r="390" spans="1:3" customFormat="1" ht="15.75" customHeight="1" x14ac:dyDescent="0.25">
      <c r="A390" s="16">
        <f>IF($A$3='[1]Base de datos '!$K$5,'[1]Base de datos '!C388,IF($A$3='[1]Base de datos '!$K$6,'[1]Base de datos '!D388,IF($A$3='[1]Base de datos '!$K$7,'[1]Base de datos '!E388,IF($A$3='[1]Base de datos '!$K$8,'[1]Base de datos '!F388,IF($A$3='[1]Base de datos '!$K$9,'[1]Base de datos '!G388)))))</f>
        <v>242</v>
      </c>
      <c r="B390" s="17" t="str">
        <f t="shared" ref="B390:B453" si="7">IF(A390&lt;=$I$5,"BAJO",IF(A390&lt;=$I$6,"MEDIO","ALTO"))</f>
        <v>BAJO</v>
      </c>
      <c r="C390" s="18" t="s">
        <v>17</v>
      </c>
    </row>
    <row r="391" spans="1:3" customFormat="1" ht="15.75" customHeight="1" x14ac:dyDescent="0.25">
      <c r="A391" s="16">
        <f>IF($A$3='[1]Base de datos '!$K$5,'[1]Base de datos '!C389,IF($A$3='[1]Base de datos '!$K$6,'[1]Base de datos '!D389,IF($A$3='[1]Base de datos '!$K$7,'[1]Base de datos '!E389,IF($A$3='[1]Base de datos '!$K$8,'[1]Base de datos '!F389,IF($A$3='[1]Base de datos '!$K$9,'[1]Base de datos '!G389)))))</f>
        <v>520</v>
      </c>
      <c r="B391" s="17" t="str">
        <f t="shared" si="7"/>
        <v>MEDIO</v>
      </c>
      <c r="C391" s="18" t="s">
        <v>19</v>
      </c>
    </row>
    <row r="392" spans="1:3" customFormat="1" ht="15.75" customHeight="1" x14ac:dyDescent="0.25">
      <c r="A392" s="16">
        <f>IF($A$3='[1]Base de datos '!$K$5,'[1]Base de datos '!C390,IF($A$3='[1]Base de datos '!$K$6,'[1]Base de datos '!D390,IF($A$3='[1]Base de datos '!$K$7,'[1]Base de datos '!E390,IF($A$3='[1]Base de datos '!$K$8,'[1]Base de datos '!F390,IF($A$3='[1]Base de datos '!$K$9,'[1]Base de datos '!G390)))))</f>
        <v>1012</v>
      </c>
      <c r="B392" s="17" t="str">
        <f t="shared" si="7"/>
        <v>ALTO</v>
      </c>
      <c r="C392" s="18" t="s">
        <v>6</v>
      </c>
    </row>
    <row r="393" spans="1:3" customFormat="1" ht="15.75" customHeight="1" x14ac:dyDescent="0.25">
      <c r="A393" s="16">
        <f>IF($A$3='[1]Base de datos '!$K$5,'[1]Base de datos '!C391,IF($A$3='[1]Base de datos '!$K$6,'[1]Base de datos '!D391,IF($A$3='[1]Base de datos '!$K$7,'[1]Base de datos '!E391,IF($A$3='[1]Base de datos '!$K$8,'[1]Base de datos '!F391,IF($A$3='[1]Base de datos '!$K$9,'[1]Base de datos '!G391)))))</f>
        <v>873</v>
      </c>
      <c r="B393" s="17" t="str">
        <f t="shared" si="7"/>
        <v>ALTO</v>
      </c>
      <c r="C393" s="18" t="s">
        <v>18</v>
      </c>
    </row>
    <row r="394" spans="1:3" customFormat="1" ht="15.75" customHeight="1" x14ac:dyDescent="0.25">
      <c r="A394" s="16">
        <f>IF($A$3='[1]Base de datos '!$K$5,'[1]Base de datos '!C392,IF($A$3='[1]Base de datos '!$K$6,'[1]Base de datos '!D392,IF($A$3='[1]Base de datos '!$K$7,'[1]Base de datos '!E392,IF($A$3='[1]Base de datos '!$K$8,'[1]Base de datos '!F392,IF($A$3='[1]Base de datos '!$K$9,'[1]Base de datos '!G392)))))</f>
        <v>452</v>
      </c>
      <c r="B394" s="17" t="str">
        <f t="shared" si="7"/>
        <v>MEDIO</v>
      </c>
      <c r="C394" s="18" t="s">
        <v>6</v>
      </c>
    </row>
    <row r="395" spans="1:3" customFormat="1" ht="15.75" customHeight="1" x14ac:dyDescent="0.25">
      <c r="A395" s="16">
        <f>IF($A$3='[1]Base de datos '!$K$5,'[1]Base de datos '!C393,IF($A$3='[1]Base de datos '!$K$6,'[1]Base de datos '!D393,IF($A$3='[1]Base de datos '!$K$7,'[1]Base de datos '!E393,IF($A$3='[1]Base de datos '!$K$8,'[1]Base de datos '!F393,IF($A$3='[1]Base de datos '!$K$9,'[1]Base de datos '!G393)))))</f>
        <v>422</v>
      </c>
      <c r="B395" s="17" t="str">
        <f t="shared" si="7"/>
        <v>MEDIO</v>
      </c>
      <c r="C395" s="18" t="s">
        <v>11</v>
      </c>
    </row>
    <row r="396" spans="1:3" customFormat="1" ht="15.75" customHeight="1" x14ac:dyDescent="0.25">
      <c r="A396" s="16">
        <f>IF($A$3='[1]Base de datos '!$K$5,'[1]Base de datos '!C394,IF($A$3='[1]Base de datos '!$K$6,'[1]Base de datos '!D394,IF($A$3='[1]Base de datos '!$K$7,'[1]Base de datos '!E394,IF($A$3='[1]Base de datos '!$K$8,'[1]Base de datos '!F394,IF($A$3='[1]Base de datos '!$K$9,'[1]Base de datos '!G394)))))</f>
        <v>723</v>
      </c>
      <c r="B396" s="17" t="str">
        <f t="shared" si="7"/>
        <v>ALTO</v>
      </c>
      <c r="C396" s="18" t="s">
        <v>6</v>
      </c>
    </row>
    <row r="397" spans="1:3" customFormat="1" ht="15.75" customHeight="1" x14ac:dyDescent="0.25">
      <c r="A397" s="16">
        <f>IF($A$3='[1]Base de datos '!$K$5,'[1]Base de datos '!C395,IF($A$3='[1]Base de datos '!$K$6,'[1]Base de datos '!D395,IF($A$3='[1]Base de datos '!$K$7,'[1]Base de datos '!E395,IF($A$3='[1]Base de datos '!$K$8,'[1]Base de datos '!F395,IF($A$3='[1]Base de datos '!$K$9,'[1]Base de datos '!G395)))))</f>
        <v>577</v>
      </c>
      <c r="B397" s="17" t="str">
        <f t="shared" si="7"/>
        <v>MEDIO</v>
      </c>
      <c r="C397" s="18" t="s">
        <v>11</v>
      </c>
    </row>
    <row r="398" spans="1:3" customFormat="1" ht="15.75" customHeight="1" x14ac:dyDescent="0.25">
      <c r="A398" s="16">
        <f>IF($A$3='[1]Base de datos '!$K$5,'[1]Base de datos '!C396,IF($A$3='[1]Base de datos '!$K$6,'[1]Base de datos '!D396,IF($A$3='[1]Base de datos '!$K$7,'[1]Base de datos '!E396,IF($A$3='[1]Base de datos '!$K$8,'[1]Base de datos '!F396,IF($A$3='[1]Base de datos '!$K$9,'[1]Base de datos '!G396)))))</f>
        <v>559</v>
      </c>
      <c r="B398" s="17" t="str">
        <f t="shared" si="7"/>
        <v>MEDIO</v>
      </c>
      <c r="C398" s="18" t="s">
        <v>17</v>
      </c>
    </row>
    <row r="399" spans="1:3" customFormat="1" ht="15.75" customHeight="1" x14ac:dyDescent="0.25">
      <c r="A399" s="16">
        <f>IF($A$3='[1]Base de datos '!$K$5,'[1]Base de datos '!C397,IF($A$3='[1]Base de datos '!$K$6,'[1]Base de datos '!D397,IF($A$3='[1]Base de datos '!$K$7,'[1]Base de datos '!E397,IF($A$3='[1]Base de datos '!$K$8,'[1]Base de datos '!F397,IF($A$3='[1]Base de datos '!$K$9,'[1]Base de datos '!G397)))))</f>
        <v>424</v>
      </c>
      <c r="B399" s="17" t="str">
        <f t="shared" si="7"/>
        <v>MEDIO</v>
      </c>
      <c r="C399" s="18" t="s">
        <v>11</v>
      </c>
    </row>
    <row r="400" spans="1:3" customFormat="1" ht="15.75" customHeight="1" x14ac:dyDescent="0.25">
      <c r="A400" s="16">
        <f>IF($A$3='[1]Base de datos '!$K$5,'[1]Base de datos '!C398,IF($A$3='[1]Base de datos '!$K$6,'[1]Base de datos '!D398,IF($A$3='[1]Base de datos '!$K$7,'[1]Base de datos '!E398,IF($A$3='[1]Base de datos '!$K$8,'[1]Base de datos '!F398,IF($A$3='[1]Base de datos '!$K$9,'[1]Base de datos '!G398)))))</f>
        <v>677</v>
      </c>
      <c r="B400" s="17" t="str">
        <f t="shared" si="7"/>
        <v>ALTO</v>
      </c>
      <c r="C400" s="18" t="s">
        <v>6</v>
      </c>
    </row>
    <row r="401" spans="1:3" customFormat="1" ht="15.75" customHeight="1" x14ac:dyDescent="0.25">
      <c r="A401" s="16">
        <f>IF($A$3='[1]Base de datos '!$K$5,'[1]Base de datos '!C399,IF($A$3='[1]Base de datos '!$K$6,'[1]Base de datos '!D399,IF($A$3='[1]Base de datos '!$K$7,'[1]Base de datos '!E399,IF($A$3='[1]Base de datos '!$K$8,'[1]Base de datos '!F399,IF($A$3='[1]Base de datos '!$K$9,'[1]Base de datos '!G399)))))</f>
        <v>815</v>
      </c>
      <c r="B401" s="17" t="str">
        <f t="shared" si="7"/>
        <v>ALTO</v>
      </c>
      <c r="C401" s="18" t="s">
        <v>11</v>
      </c>
    </row>
    <row r="402" spans="1:3" customFormat="1" ht="15.75" customHeight="1" x14ac:dyDescent="0.25">
      <c r="A402" s="16">
        <f>IF($A$3='[1]Base de datos '!$K$5,'[1]Base de datos '!C400,IF($A$3='[1]Base de datos '!$K$6,'[1]Base de datos '!D400,IF($A$3='[1]Base de datos '!$K$7,'[1]Base de datos '!E400,IF($A$3='[1]Base de datos '!$K$8,'[1]Base de datos '!F400,IF($A$3='[1]Base de datos '!$K$9,'[1]Base de datos '!G400)))))</f>
        <v>607</v>
      </c>
      <c r="B402" s="17" t="str">
        <f t="shared" si="7"/>
        <v>MEDIO</v>
      </c>
      <c r="C402" s="18" t="s">
        <v>8</v>
      </c>
    </row>
    <row r="403" spans="1:3" customFormat="1" ht="15.75" customHeight="1" x14ac:dyDescent="0.25">
      <c r="A403" s="16">
        <f>IF($A$3='[1]Base de datos '!$K$5,'[1]Base de datos '!C401,IF($A$3='[1]Base de datos '!$K$6,'[1]Base de datos '!D401,IF($A$3='[1]Base de datos '!$K$7,'[1]Base de datos '!E401,IF($A$3='[1]Base de datos '!$K$8,'[1]Base de datos '!F401,IF($A$3='[1]Base de datos '!$K$9,'[1]Base de datos '!G401)))))</f>
        <v>782</v>
      </c>
      <c r="B403" s="17" t="str">
        <f t="shared" si="7"/>
        <v>ALTO</v>
      </c>
      <c r="C403" s="18" t="s">
        <v>14</v>
      </c>
    </row>
    <row r="404" spans="1:3" customFormat="1" ht="15.75" customHeight="1" x14ac:dyDescent="0.25">
      <c r="A404" s="16">
        <f>IF($A$3='[1]Base de datos '!$K$5,'[1]Base de datos '!C402,IF($A$3='[1]Base de datos '!$K$6,'[1]Base de datos '!D402,IF($A$3='[1]Base de datos '!$K$7,'[1]Base de datos '!E402,IF($A$3='[1]Base de datos '!$K$8,'[1]Base de datos '!F402,IF($A$3='[1]Base de datos '!$K$9,'[1]Base de datos '!G402)))))</f>
        <v>608</v>
      </c>
      <c r="B404" s="17" t="str">
        <f t="shared" si="7"/>
        <v>MEDIO</v>
      </c>
      <c r="C404" s="18" t="s">
        <v>17</v>
      </c>
    </row>
    <row r="405" spans="1:3" customFormat="1" ht="15.75" customHeight="1" x14ac:dyDescent="0.25">
      <c r="A405" s="16">
        <f>IF($A$3='[1]Base de datos '!$K$5,'[1]Base de datos '!C403,IF($A$3='[1]Base de datos '!$K$6,'[1]Base de datos '!D403,IF($A$3='[1]Base de datos '!$K$7,'[1]Base de datos '!E403,IF($A$3='[1]Base de datos '!$K$8,'[1]Base de datos '!F403,IF($A$3='[1]Base de datos '!$K$9,'[1]Base de datos '!G403)))))</f>
        <v>1275</v>
      </c>
      <c r="B405" s="17" t="str">
        <f t="shared" si="7"/>
        <v>ALTO</v>
      </c>
      <c r="C405" s="18" t="s">
        <v>6</v>
      </c>
    </row>
    <row r="406" spans="1:3" customFormat="1" ht="15.75" customHeight="1" x14ac:dyDescent="0.25">
      <c r="A406" s="16">
        <f>IF($A$3='[1]Base de datos '!$K$5,'[1]Base de datos '!C404,IF($A$3='[1]Base de datos '!$K$6,'[1]Base de datos '!D404,IF($A$3='[1]Base de datos '!$K$7,'[1]Base de datos '!E404,IF($A$3='[1]Base de datos '!$K$8,'[1]Base de datos '!F404,IF($A$3='[1]Base de datos '!$K$9,'[1]Base de datos '!G404)))))</f>
        <v>772</v>
      </c>
      <c r="B406" s="17" t="str">
        <f t="shared" si="7"/>
        <v>ALTO</v>
      </c>
      <c r="C406" s="18" t="s">
        <v>18</v>
      </c>
    </row>
    <row r="407" spans="1:3" customFormat="1" ht="15.75" customHeight="1" x14ac:dyDescent="0.25">
      <c r="A407" s="16">
        <f>IF($A$3='[1]Base de datos '!$K$5,'[1]Base de datos '!C405,IF($A$3='[1]Base de datos '!$K$6,'[1]Base de datos '!D405,IF($A$3='[1]Base de datos '!$K$7,'[1]Base de datos '!E405,IF($A$3='[1]Base de datos '!$K$8,'[1]Base de datos '!F405,IF($A$3='[1]Base de datos '!$K$9,'[1]Base de datos '!G405)))))</f>
        <v>953</v>
      </c>
      <c r="B407" s="17" t="str">
        <f t="shared" si="7"/>
        <v>ALTO</v>
      </c>
      <c r="C407" s="18" t="s">
        <v>14</v>
      </c>
    </row>
    <row r="408" spans="1:3" customFormat="1" ht="15.75" customHeight="1" x14ac:dyDescent="0.25">
      <c r="A408" s="16">
        <f>IF($A$3='[1]Base de datos '!$K$5,'[1]Base de datos '!C406,IF($A$3='[1]Base de datos '!$K$6,'[1]Base de datos '!D406,IF($A$3='[1]Base de datos '!$K$7,'[1]Base de datos '!E406,IF($A$3='[1]Base de datos '!$K$8,'[1]Base de datos '!F406,IF($A$3='[1]Base de datos '!$K$9,'[1]Base de datos '!G406)))))</f>
        <v>193</v>
      </c>
      <c r="B408" s="17" t="str">
        <f t="shared" si="7"/>
        <v>BAJO</v>
      </c>
      <c r="C408" s="18" t="s">
        <v>8</v>
      </c>
    </row>
    <row r="409" spans="1:3" customFormat="1" ht="15.75" customHeight="1" x14ac:dyDescent="0.25">
      <c r="A409" s="16">
        <f>IF($A$3='[1]Base de datos '!$K$5,'[1]Base de datos '!C407,IF($A$3='[1]Base de datos '!$K$6,'[1]Base de datos '!D407,IF($A$3='[1]Base de datos '!$K$7,'[1]Base de datos '!E407,IF($A$3='[1]Base de datos '!$K$8,'[1]Base de datos '!F407,IF($A$3='[1]Base de datos '!$K$9,'[1]Base de datos '!G407)))))</f>
        <v>442</v>
      </c>
      <c r="B409" s="17" t="str">
        <f t="shared" si="7"/>
        <v>MEDIO</v>
      </c>
      <c r="C409" s="18" t="s">
        <v>8</v>
      </c>
    </row>
    <row r="410" spans="1:3" customFormat="1" ht="15.75" customHeight="1" x14ac:dyDescent="0.25">
      <c r="A410" s="16">
        <f>IF($A$3='[1]Base de datos '!$K$5,'[1]Base de datos '!C408,IF($A$3='[1]Base de datos '!$K$6,'[1]Base de datos '!D408,IF($A$3='[1]Base de datos '!$K$7,'[1]Base de datos '!E408,IF($A$3='[1]Base de datos '!$K$8,'[1]Base de datos '!F408,IF($A$3='[1]Base de datos '!$K$9,'[1]Base de datos '!G408)))))</f>
        <v>562</v>
      </c>
      <c r="B410" s="17" t="str">
        <f t="shared" si="7"/>
        <v>MEDIO</v>
      </c>
      <c r="C410" s="18" t="s">
        <v>6</v>
      </c>
    </row>
    <row r="411" spans="1:3" customFormat="1" ht="15.75" customHeight="1" x14ac:dyDescent="0.25">
      <c r="A411" s="16">
        <f>IF($A$3='[1]Base de datos '!$K$5,'[1]Base de datos '!C409,IF($A$3='[1]Base de datos '!$K$6,'[1]Base de datos '!D409,IF($A$3='[1]Base de datos '!$K$7,'[1]Base de datos '!E409,IF($A$3='[1]Base de datos '!$K$8,'[1]Base de datos '!F409,IF($A$3='[1]Base de datos '!$K$9,'[1]Base de datos '!G409)))))</f>
        <v>400</v>
      </c>
      <c r="B411" s="17" t="str">
        <f t="shared" si="7"/>
        <v>MEDIO</v>
      </c>
      <c r="C411" s="18" t="s">
        <v>6</v>
      </c>
    </row>
    <row r="412" spans="1:3" customFormat="1" ht="15.75" customHeight="1" x14ac:dyDescent="0.25">
      <c r="A412" s="16">
        <f>IF($A$3='[1]Base de datos '!$K$5,'[1]Base de datos '!C410,IF($A$3='[1]Base de datos '!$K$6,'[1]Base de datos '!D410,IF($A$3='[1]Base de datos '!$K$7,'[1]Base de datos '!E410,IF($A$3='[1]Base de datos '!$K$8,'[1]Base de datos '!F410,IF($A$3='[1]Base de datos '!$K$9,'[1]Base de datos '!G410)))))</f>
        <v>65</v>
      </c>
      <c r="B412" s="17" t="str">
        <f t="shared" si="7"/>
        <v>BAJO</v>
      </c>
      <c r="C412" s="18" t="s">
        <v>17</v>
      </c>
    </row>
    <row r="413" spans="1:3" customFormat="1" ht="15.75" customHeight="1" x14ac:dyDescent="0.25">
      <c r="A413" s="16">
        <f>IF($A$3='[1]Base de datos '!$K$5,'[1]Base de datos '!C411,IF($A$3='[1]Base de datos '!$K$6,'[1]Base de datos '!D411,IF($A$3='[1]Base de datos '!$K$7,'[1]Base de datos '!E411,IF($A$3='[1]Base de datos '!$K$8,'[1]Base de datos '!F411,IF($A$3='[1]Base de datos '!$K$9,'[1]Base de datos '!G411)))))</f>
        <v>513</v>
      </c>
      <c r="B413" s="17" t="str">
        <f t="shared" si="7"/>
        <v>MEDIO</v>
      </c>
      <c r="C413" s="18" t="s">
        <v>17</v>
      </c>
    </row>
    <row r="414" spans="1:3" customFormat="1" ht="15.75" customHeight="1" x14ac:dyDescent="0.25">
      <c r="A414" s="16">
        <f>IF($A$3='[1]Base de datos '!$K$5,'[1]Base de datos '!C412,IF($A$3='[1]Base de datos '!$K$6,'[1]Base de datos '!D412,IF($A$3='[1]Base de datos '!$K$7,'[1]Base de datos '!E412,IF($A$3='[1]Base de datos '!$K$8,'[1]Base de datos '!F412,IF($A$3='[1]Base de datos '!$K$9,'[1]Base de datos '!G412)))))</f>
        <v>1006</v>
      </c>
      <c r="B414" s="17" t="str">
        <f t="shared" si="7"/>
        <v>ALTO</v>
      </c>
      <c r="C414" s="18" t="s">
        <v>14</v>
      </c>
    </row>
    <row r="415" spans="1:3" customFormat="1" ht="15.75" customHeight="1" x14ac:dyDescent="0.25">
      <c r="A415" s="16">
        <f>IF($A$3='[1]Base de datos '!$K$5,'[1]Base de datos '!C413,IF($A$3='[1]Base de datos '!$K$6,'[1]Base de datos '!D413,IF($A$3='[1]Base de datos '!$K$7,'[1]Base de datos '!E413,IF($A$3='[1]Base de datos '!$K$8,'[1]Base de datos '!F413,IF($A$3='[1]Base de datos '!$K$9,'[1]Base de datos '!G413)))))</f>
        <v>717</v>
      </c>
      <c r="B415" s="17" t="str">
        <f t="shared" si="7"/>
        <v>ALTO</v>
      </c>
      <c r="C415" s="18" t="s">
        <v>11</v>
      </c>
    </row>
    <row r="416" spans="1:3" customFormat="1" ht="15.75" customHeight="1" x14ac:dyDescent="0.25">
      <c r="A416" s="16">
        <f>IF($A$3='[1]Base de datos '!$K$5,'[1]Base de datos '!C414,IF($A$3='[1]Base de datos '!$K$6,'[1]Base de datos '!D414,IF($A$3='[1]Base de datos '!$K$7,'[1]Base de datos '!E414,IF($A$3='[1]Base de datos '!$K$8,'[1]Base de datos '!F414,IF($A$3='[1]Base de datos '!$K$9,'[1]Base de datos '!G414)))))</f>
        <v>737</v>
      </c>
      <c r="B416" s="17" t="str">
        <f t="shared" si="7"/>
        <v>ALTO</v>
      </c>
      <c r="C416" s="18" t="s">
        <v>17</v>
      </c>
    </row>
    <row r="417" spans="1:3" customFormat="1" ht="15.75" customHeight="1" x14ac:dyDescent="0.25">
      <c r="A417" s="16">
        <f>IF($A$3='[1]Base de datos '!$K$5,'[1]Base de datos '!C415,IF($A$3='[1]Base de datos '!$K$6,'[1]Base de datos '!D415,IF($A$3='[1]Base de datos '!$K$7,'[1]Base de datos '!E415,IF($A$3='[1]Base de datos '!$K$8,'[1]Base de datos '!F415,IF($A$3='[1]Base de datos '!$K$9,'[1]Base de datos '!G415)))))</f>
        <v>857</v>
      </c>
      <c r="B417" s="17" t="str">
        <f t="shared" si="7"/>
        <v>ALTO</v>
      </c>
      <c r="C417" s="18" t="s">
        <v>17</v>
      </c>
    </row>
    <row r="418" spans="1:3" customFormat="1" ht="15.75" customHeight="1" x14ac:dyDescent="0.25">
      <c r="A418" s="16">
        <f>IF($A$3='[1]Base de datos '!$K$5,'[1]Base de datos '!C416,IF($A$3='[1]Base de datos '!$K$6,'[1]Base de datos '!D416,IF($A$3='[1]Base de datos '!$K$7,'[1]Base de datos '!E416,IF($A$3='[1]Base de datos '!$K$8,'[1]Base de datos '!F416,IF($A$3='[1]Base de datos '!$K$9,'[1]Base de datos '!G416)))))</f>
        <v>552</v>
      </c>
      <c r="B418" s="17" t="str">
        <f t="shared" si="7"/>
        <v>MEDIO</v>
      </c>
      <c r="C418" s="18" t="s">
        <v>6</v>
      </c>
    </row>
    <row r="419" spans="1:3" customFormat="1" ht="15.75" customHeight="1" x14ac:dyDescent="0.25">
      <c r="A419" s="16">
        <f>IF($A$3='[1]Base de datos '!$K$5,'[1]Base de datos '!C417,IF($A$3='[1]Base de datos '!$K$6,'[1]Base de datos '!D417,IF($A$3='[1]Base de datos '!$K$7,'[1]Base de datos '!E417,IF($A$3='[1]Base de datos '!$K$8,'[1]Base de datos '!F417,IF($A$3='[1]Base de datos '!$K$9,'[1]Base de datos '!G417)))))</f>
        <v>894</v>
      </c>
      <c r="B419" s="17" t="str">
        <f t="shared" si="7"/>
        <v>ALTO</v>
      </c>
      <c r="C419" s="18" t="s">
        <v>18</v>
      </c>
    </row>
    <row r="420" spans="1:3" customFormat="1" ht="15.75" customHeight="1" x14ac:dyDescent="0.25">
      <c r="A420" s="16">
        <f>IF($A$3='[1]Base de datos '!$K$5,'[1]Base de datos '!C418,IF($A$3='[1]Base de datos '!$K$6,'[1]Base de datos '!D418,IF($A$3='[1]Base de datos '!$K$7,'[1]Base de datos '!E418,IF($A$3='[1]Base de datos '!$K$8,'[1]Base de datos '!F418,IF($A$3='[1]Base de datos '!$K$9,'[1]Base de datos '!G418)))))</f>
        <v>629</v>
      </c>
      <c r="B420" s="17" t="str">
        <f t="shared" si="7"/>
        <v>ALTO</v>
      </c>
      <c r="C420" s="18" t="s">
        <v>11</v>
      </c>
    </row>
    <row r="421" spans="1:3" customFormat="1" ht="15.75" customHeight="1" x14ac:dyDescent="0.25">
      <c r="A421" s="16">
        <f>IF($A$3='[1]Base de datos '!$K$5,'[1]Base de datos '!C419,IF($A$3='[1]Base de datos '!$K$6,'[1]Base de datos '!D419,IF($A$3='[1]Base de datos '!$K$7,'[1]Base de datos '!E419,IF($A$3='[1]Base de datos '!$K$8,'[1]Base de datos '!F419,IF($A$3='[1]Base de datos '!$K$9,'[1]Base de datos '!G419)))))</f>
        <v>774</v>
      </c>
      <c r="B421" s="17" t="str">
        <f t="shared" si="7"/>
        <v>ALTO</v>
      </c>
      <c r="C421" s="18" t="s">
        <v>14</v>
      </c>
    </row>
    <row r="422" spans="1:3" customFormat="1" ht="15.75" customHeight="1" x14ac:dyDescent="0.25">
      <c r="A422" s="16">
        <f>IF($A$3='[1]Base de datos '!$K$5,'[1]Base de datos '!C420,IF($A$3='[1]Base de datos '!$K$6,'[1]Base de datos '!D420,IF($A$3='[1]Base de datos '!$K$7,'[1]Base de datos '!E420,IF($A$3='[1]Base de datos '!$K$8,'[1]Base de datos '!F420,IF($A$3='[1]Base de datos '!$K$9,'[1]Base de datos '!G420)))))</f>
        <v>355</v>
      </c>
      <c r="B422" s="17" t="str">
        <f t="shared" si="7"/>
        <v>MEDIO</v>
      </c>
      <c r="C422" s="18" t="s">
        <v>6</v>
      </c>
    </row>
    <row r="423" spans="1:3" customFormat="1" ht="15.75" customHeight="1" x14ac:dyDescent="0.25">
      <c r="A423" s="16">
        <f>IF($A$3='[1]Base de datos '!$K$5,'[1]Base de datos '!C421,IF($A$3='[1]Base de datos '!$K$6,'[1]Base de datos '!D421,IF($A$3='[1]Base de datos '!$K$7,'[1]Base de datos '!E421,IF($A$3='[1]Base de datos '!$K$8,'[1]Base de datos '!F421,IF($A$3='[1]Base de datos '!$K$9,'[1]Base de datos '!G421)))))</f>
        <v>621</v>
      </c>
      <c r="B423" s="17" t="str">
        <f t="shared" si="7"/>
        <v>MEDIO</v>
      </c>
      <c r="C423" s="18" t="s">
        <v>18</v>
      </c>
    </row>
    <row r="424" spans="1:3" customFormat="1" ht="15.75" customHeight="1" x14ac:dyDescent="0.25">
      <c r="A424" s="16">
        <f>IF($A$3='[1]Base de datos '!$K$5,'[1]Base de datos '!C422,IF($A$3='[1]Base de datos '!$K$6,'[1]Base de datos '!D422,IF($A$3='[1]Base de datos '!$K$7,'[1]Base de datos '!E422,IF($A$3='[1]Base de datos '!$K$8,'[1]Base de datos '!F422,IF($A$3='[1]Base de datos '!$K$9,'[1]Base de datos '!G422)))))</f>
        <v>704</v>
      </c>
      <c r="B424" s="17" t="str">
        <f t="shared" si="7"/>
        <v>ALTO</v>
      </c>
      <c r="C424" s="18" t="s">
        <v>8</v>
      </c>
    </row>
    <row r="425" spans="1:3" customFormat="1" ht="15.75" customHeight="1" x14ac:dyDescent="0.25">
      <c r="A425" s="16">
        <f>IF($A$3='[1]Base de datos '!$K$5,'[1]Base de datos '!C423,IF($A$3='[1]Base de datos '!$K$6,'[1]Base de datos '!D423,IF($A$3='[1]Base de datos '!$K$7,'[1]Base de datos '!E423,IF($A$3='[1]Base de datos '!$K$8,'[1]Base de datos '!F423,IF($A$3='[1]Base de datos '!$K$9,'[1]Base de datos '!G423)))))</f>
        <v>419</v>
      </c>
      <c r="B425" s="17" t="str">
        <f t="shared" si="7"/>
        <v>MEDIO</v>
      </c>
      <c r="C425" s="18" t="s">
        <v>18</v>
      </c>
    </row>
    <row r="426" spans="1:3" customFormat="1" ht="15.75" customHeight="1" x14ac:dyDescent="0.25">
      <c r="A426" s="16">
        <f>IF($A$3='[1]Base de datos '!$K$5,'[1]Base de datos '!C424,IF($A$3='[1]Base de datos '!$K$6,'[1]Base de datos '!D424,IF($A$3='[1]Base de datos '!$K$7,'[1]Base de datos '!E424,IF($A$3='[1]Base de datos '!$K$8,'[1]Base de datos '!F424,IF($A$3='[1]Base de datos '!$K$9,'[1]Base de datos '!G424)))))</f>
        <v>335</v>
      </c>
      <c r="B426" s="17" t="str">
        <f t="shared" si="7"/>
        <v>MEDIO</v>
      </c>
      <c r="C426" s="18" t="s">
        <v>18</v>
      </c>
    </row>
    <row r="427" spans="1:3" customFormat="1" ht="15.75" customHeight="1" x14ac:dyDescent="0.25">
      <c r="A427" s="16">
        <f>IF($A$3='[1]Base de datos '!$K$5,'[1]Base de datos '!C425,IF($A$3='[1]Base de datos '!$K$6,'[1]Base de datos '!D425,IF($A$3='[1]Base de datos '!$K$7,'[1]Base de datos '!E425,IF($A$3='[1]Base de datos '!$K$8,'[1]Base de datos '!F425,IF($A$3='[1]Base de datos '!$K$9,'[1]Base de datos '!G425)))))</f>
        <v>198</v>
      </c>
      <c r="B427" s="17" t="str">
        <f t="shared" si="7"/>
        <v>BAJO</v>
      </c>
      <c r="C427" s="18" t="s">
        <v>17</v>
      </c>
    </row>
    <row r="428" spans="1:3" customFormat="1" ht="15.75" customHeight="1" x14ac:dyDescent="0.25">
      <c r="A428" s="16">
        <f>IF($A$3='[1]Base de datos '!$K$5,'[1]Base de datos '!C426,IF($A$3='[1]Base de datos '!$K$6,'[1]Base de datos '!D426,IF($A$3='[1]Base de datos '!$K$7,'[1]Base de datos '!E426,IF($A$3='[1]Base de datos '!$K$8,'[1]Base de datos '!F426,IF($A$3='[1]Base de datos '!$K$9,'[1]Base de datos '!G426)))))</f>
        <v>707</v>
      </c>
      <c r="B428" s="17" t="str">
        <f t="shared" si="7"/>
        <v>ALTO</v>
      </c>
      <c r="C428" s="18" t="s">
        <v>19</v>
      </c>
    </row>
    <row r="429" spans="1:3" customFormat="1" ht="15.75" customHeight="1" x14ac:dyDescent="0.25">
      <c r="A429" s="16">
        <f>IF($A$3='[1]Base de datos '!$K$5,'[1]Base de datos '!C427,IF($A$3='[1]Base de datos '!$K$6,'[1]Base de datos '!D427,IF($A$3='[1]Base de datos '!$K$7,'[1]Base de datos '!E427,IF($A$3='[1]Base de datos '!$K$8,'[1]Base de datos '!F427,IF($A$3='[1]Base de datos '!$K$9,'[1]Base de datos '!G427)))))</f>
        <v>660</v>
      </c>
      <c r="B429" s="17" t="str">
        <f t="shared" si="7"/>
        <v>ALTO</v>
      </c>
      <c r="C429" s="18" t="s">
        <v>19</v>
      </c>
    </row>
    <row r="430" spans="1:3" customFormat="1" ht="15.75" customHeight="1" x14ac:dyDescent="0.25">
      <c r="A430" s="16">
        <f>IF($A$3='[1]Base de datos '!$K$5,'[1]Base de datos '!C428,IF($A$3='[1]Base de datos '!$K$6,'[1]Base de datos '!D428,IF($A$3='[1]Base de datos '!$K$7,'[1]Base de datos '!E428,IF($A$3='[1]Base de datos '!$K$8,'[1]Base de datos '!F428,IF($A$3='[1]Base de datos '!$K$9,'[1]Base de datos '!G428)))))</f>
        <v>828</v>
      </c>
      <c r="B430" s="17" t="str">
        <f t="shared" si="7"/>
        <v>ALTO</v>
      </c>
      <c r="C430" s="18" t="s">
        <v>18</v>
      </c>
    </row>
    <row r="431" spans="1:3" customFormat="1" ht="15.75" customHeight="1" x14ac:dyDescent="0.25">
      <c r="A431" s="16">
        <f>IF($A$3='[1]Base de datos '!$K$5,'[1]Base de datos '!C429,IF($A$3='[1]Base de datos '!$K$6,'[1]Base de datos '!D429,IF($A$3='[1]Base de datos '!$K$7,'[1]Base de datos '!E429,IF($A$3='[1]Base de datos '!$K$8,'[1]Base de datos '!F429,IF($A$3='[1]Base de datos '!$K$9,'[1]Base de datos '!G429)))))</f>
        <v>744</v>
      </c>
      <c r="B431" s="17" t="str">
        <f t="shared" si="7"/>
        <v>ALTO</v>
      </c>
      <c r="C431" s="18" t="s">
        <v>11</v>
      </c>
    </row>
    <row r="432" spans="1:3" customFormat="1" ht="15.75" customHeight="1" x14ac:dyDescent="0.25">
      <c r="A432" s="16">
        <f>IF($A$3='[1]Base de datos '!$K$5,'[1]Base de datos '!C430,IF($A$3='[1]Base de datos '!$K$6,'[1]Base de datos '!D430,IF($A$3='[1]Base de datos '!$K$7,'[1]Base de datos '!E430,IF($A$3='[1]Base de datos '!$K$8,'[1]Base de datos '!F430,IF($A$3='[1]Base de datos '!$K$9,'[1]Base de datos '!G430)))))</f>
        <v>1090</v>
      </c>
      <c r="B432" s="17" t="str">
        <f t="shared" si="7"/>
        <v>ALTO</v>
      </c>
      <c r="C432" s="18" t="s">
        <v>18</v>
      </c>
    </row>
    <row r="433" spans="1:3" customFormat="1" ht="15.75" customHeight="1" x14ac:dyDescent="0.25">
      <c r="A433" s="16">
        <f>IF($A$3='[1]Base de datos '!$K$5,'[1]Base de datos '!C431,IF($A$3='[1]Base de datos '!$K$6,'[1]Base de datos '!D431,IF($A$3='[1]Base de datos '!$K$7,'[1]Base de datos '!E431,IF($A$3='[1]Base de datos '!$K$8,'[1]Base de datos '!F431,IF($A$3='[1]Base de datos '!$K$9,'[1]Base de datos '!G431)))))</f>
        <v>682</v>
      </c>
      <c r="B433" s="17" t="str">
        <f t="shared" si="7"/>
        <v>ALTO</v>
      </c>
      <c r="C433" s="18" t="s">
        <v>6</v>
      </c>
    </row>
    <row r="434" spans="1:3" customFormat="1" ht="15.75" customHeight="1" x14ac:dyDescent="0.25">
      <c r="A434" s="16">
        <f>IF($A$3='[1]Base de datos '!$K$5,'[1]Base de datos '!C432,IF($A$3='[1]Base de datos '!$K$6,'[1]Base de datos '!D432,IF($A$3='[1]Base de datos '!$K$7,'[1]Base de datos '!E432,IF($A$3='[1]Base de datos '!$K$8,'[1]Base de datos '!F432,IF($A$3='[1]Base de datos '!$K$9,'[1]Base de datos '!G432)))))</f>
        <v>818</v>
      </c>
      <c r="B434" s="17" t="str">
        <f t="shared" si="7"/>
        <v>ALTO</v>
      </c>
      <c r="C434" s="18" t="s">
        <v>6</v>
      </c>
    </row>
    <row r="435" spans="1:3" customFormat="1" ht="15.75" customHeight="1" x14ac:dyDescent="0.25">
      <c r="A435" s="16">
        <f>IF($A$3='[1]Base de datos '!$K$5,'[1]Base de datos '!C433,IF($A$3='[1]Base de datos '!$K$6,'[1]Base de datos '!D433,IF($A$3='[1]Base de datos '!$K$7,'[1]Base de datos '!E433,IF($A$3='[1]Base de datos '!$K$8,'[1]Base de datos '!F433,IF($A$3='[1]Base de datos '!$K$9,'[1]Base de datos '!G433)))))</f>
        <v>692</v>
      </c>
      <c r="B435" s="17" t="str">
        <f t="shared" si="7"/>
        <v>ALTO</v>
      </c>
      <c r="C435" s="18" t="s">
        <v>14</v>
      </c>
    </row>
    <row r="436" spans="1:3" customFormat="1" ht="15.75" customHeight="1" x14ac:dyDescent="0.25">
      <c r="A436" s="16">
        <f>IF($A$3='[1]Base de datos '!$K$5,'[1]Base de datos '!C434,IF($A$3='[1]Base de datos '!$K$6,'[1]Base de datos '!D434,IF($A$3='[1]Base de datos '!$K$7,'[1]Base de datos '!E434,IF($A$3='[1]Base de datos '!$K$8,'[1]Base de datos '!F434,IF($A$3='[1]Base de datos '!$K$9,'[1]Base de datos '!G434)))))</f>
        <v>638</v>
      </c>
      <c r="B436" s="17" t="str">
        <f t="shared" si="7"/>
        <v>ALTO</v>
      </c>
      <c r="C436" s="18" t="s">
        <v>6</v>
      </c>
    </row>
    <row r="437" spans="1:3" customFormat="1" ht="15.75" customHeight="1" x14ac:dyDescent="0.25">
      <c r="A437" s="16">
        <f>IF($A$3='[1]Base de datos '!$K$5,'[1]Base de datos '!C435,IF($A$3='[1]Base de datos '!$K$6,'[1]Base de datos '!D435,IF($A$3='[1]Base de datos '!$K$7,'[1]Base de datos '!E435,IF($A$3='[1]Base de datos '!$K$8,'[1]Base de datos '!F435,IF($A$3='[1]Base de datos '!$K$9,'[1]Base de datos '!G435)))))</f>
        <v>488</v>
      </c>
      <c r="B437" s="17" t="str">
        <f t="shared" si="7"/>
        <v>MEDIO</v>
      </c>
      <c r="C437" s="18" t="s">
        <v>14</v>
      </c>
    </row>
    <row r="438" spans="1:3" customFormat="1" ht="15.75" customHeight="1" x14ac:dyDescent="0.25">
      <c r="A438" s="16">
        <f>IF($A$3='[1]Base de datos '!$K$5,'[1]Base de datos '!C436,IF($A$3='[1]Base de datos '!$K$6,'[1]Base de datos '!D436,IF($A$3='[1]Base de datos '!$K$7,'[1]Base de datos '!E436,IF($A$3='[1]Base de datos '!$K$8,'[1]Base de datos '!F436,IF($A$3='[1]Base de datos '!$K$9,'[1]Base de datos '!G436)))))</f>
        <v>761</v>
      </c>
      <c r="B438" s="17" t="str">
        <f t="shared" si="7"/>
        <v>ALTO</v>
      </c>
      <c r="C438" s="18" t="s">
        <v>6</v>
      </c>
    </row>
    <row r="439" spans="1:3" customFormat="1" ht="15.75" customHeight="1" x14ac:dyDescent="0.25">
      <c r="A439" s="16">
        <f>IF($A$3='[1]Base de datos '!$K$5,'[1]Base de datos '!C437,IF($A$3='[1]Base de datos '!$K$6,'[1]Base de datos '!D437,IF($A$3='[1]Base de datos '!$K$7,'[1]Base de datos '!E437,IF($A$3='[1]Base de datos '!$K$8,'[1]Base de datos '!F437,IF($A$3='[1]Base de datos '!$K$9,'[1]Base de datos '!G437)))))</f>
        <v>621</v>
      </c>
      <c r="B439" s="17" t="str">
        <f t="shared" si="7"/>
        <v>MEDIO</v>
      </c>
      <c r="C439" s="18" t="s">
        <v>14</v>
      </c>
    </row>
    <row r="440" spans="1:3" customFormat="1" ht="15.75" customHeight="1" x14ac:dyDescent="0.25">
      <c r="A440" s="16">
        <f>IF($A$3='[1]Base de datos '!$K$5,'[1]Base de datos '!C438,IF($A$3='[1]Base de datos '!$K$6,'[1]Base de datos '!D438,IF($A$3='[1]Base de datos '!$K$7,'[1]Base de datos '!E438,IF($A$3='[1]Base de datos '!$K$8,'[1]Base de datos '!F438,IF($A$3='[1]Base de datos '!$K$9,'[1]Base de datos '!G438)))))</f>
        <v>345</v>
      </c>
      <c r="B440" s="17" t="str">
        <f t="shared" si="7"/>
        <v>MEDIO</v>
      </c>
      <c r="C440" s="18" t="s">
        <v>14</v>
      </c>
    </row>
    <row r="441" spans="1:3" customFormat="1" ht="15.75" customHeight="1" x14ac:dyDescent="0.25">
      <c r="A441" s="16">
        <f>IF($A$3='[1]Base de datos '!$K$5,'[1]Base de datos '!C439,IF($A$3='[1]Base de datos '!$K$6,'[1]Base de datos '!D439,IF($A$3='[1]Base de datos '!$K$7,'[1]Base de datos '!E439,IF($A$3='[1]Base de datos '!$K$8,'[1]Base de datos '!F439,IF($A$3='[1]Base de datos '!$K$9,'[1]Base de datos '!G439)))))</f>
        <v>646</v>
      </c>
      <c r="B441" s="17" t="str">
        <f t="shared" si="7"/>
        <v>ALTO</v>
      </c>
      <c r="C441" s="18" t="s">
        <v>6</v>
      </c>
    </row>
    <row r="442" spans="1:3" customFormat="1" ht="15.75" customHeight="1" x14ac:dyDescent="0.25">
      <c r="A442" s="16">
        <f>IF($A$3='[1]Base de datos '!$K$5,'[1]Base de datos '!C440,IF($A$3='[1]Base de datos '!$K$6,'[1]Base de datos '!D440,IF($A$3='[1]Base de datos '!$K$7,'[1]Base de datos '!E440,IF($A$3='[1]Base de datos '!$K$8,'[1]Base de datos '!F440,IF($A$3='[1]Base de datos '!$K$9,'[1]Base de datos '!G440)))))</f>
        <v>335</v>
      </c>
      <c r="B442" s="17" t="str">
        <f t="shared" si="7"/>
        <v>MEDIO</v>
      </c>
      <c r="C442" s="18" t="s">
        <v>17</v>
      </c>
    </row>
    <row r="443" spans="1:3" customFormat="1" ht="15.75" customHeight="1" x14ac:dyDescent="0.25">
      <c r="A443" s="16">
        <f>IF($A$3='[1]Base de datos '!$K$5,'[1]Base de datos '!C441,IF($A$3='[1]Base de datos '!$K$6,'[1]Base de datos '!D441,IF($A$3='[1]Base de datos '!$K$7,'[1]Base de datos '!E441,IF($A$3='[1]Base de datos '!$K$8,'[1]Base de datos '!F441,IF($A$3='[1]Base de datos '!$K$9,'[1]Base de datos '!G441)))))</f>
        <v>651</v>
      </c>
      <c r="B443" s="17" t="str">
        <f t="shared" si="7"/>
        <v>ALTO</v>
      </c>
      <c r="C443" s="18" t="s">
        <v>11</v>
      </c>
    </row>
    <row r="444" spans="1:3" customFormat="1" ht="15.75" customHeight="1" x14ac:dyDescent="0.25">
      <c r="A444" s="16">
        <f>IF($A$3='[1]Base de datos '!$K$5,'[1]Base de datos '!C442,IF($A$3='[1]Base de datos '!$K$6,'[1]Base de datos '!D442,IF($A$3='[1]Base de datos '!$K$7,'[1]Base de datos '!E442,IF($A$3='[1]Base de datos '!$K$8,'[1]Base de datos '!F442,IF($A$3='[1]Base de datos '!$K$9,'[1]Base de datos '!G442)))))</f>
        <v>877</v>
      </c>
      <c r="B444" s="17" t="str">
        <f t="shared" si="7"/>
        <v>ALTO</v>
      </c>
      <c r="C444" s="18" t="s">
        <v>19</v>
      </c>
    </row>
    <row r="445" spans="1:3" customFormat="1" ht="15.75" customHeight="1" x14ac:dyDescent="0.25">
      <c r="A445" s="16">
        <f>IF($A$3='[1]Base de datos '!$K$5,'[1]Base de datos '!C443,IF($A$3='[1]Base de datos '!$K$6,'[1]Base de datos '!D443,IF($A$3='[1]Base de datos '!$K$7,'[1]Base de datos '!E443,IF($A$3='[1]Base de datos '!$K$8,'[1]Base de datos '!F443,IF($A$3='[1]Base de datos '!$K$9,'[1]Base de datos '!G443)))))</f>
        <v>784</v>
      </c>
      <c r="B445" s="17" t="str">
        <f t="shared" si="7"/>
        <v>ALTO</v>
      </c>
      <c r="C445" s="18" t="s">
        <v>18</v>
      </c>
    </row>
    <row r="446" spans="1:3" customFormat="1" ht="15.75" customHeight="1" x14ac:dyDescent="0.25">
      <c r="A446" s="16">
        <f>IF($A$3='[1]Base de datos '!$K$5,'[1]Base de datos '!C444,IF($A$3='[1]Base de datos '!$K$6,'[1]Base de datos '!D444,IF($A$3='[1]Base de datos '!$K$7,'[1]Base de datos '!E444,IF($A$3='[1]Base de datos '!$K$8,'[1]Base de datos '!F444,IF($A$3='[1]Base de datos '!$K$9,'[1]Base de datos '!G444)))))</f>
        <v>267</v>
      </c>
      <c r="B446" s="17" t="str">
        <f t="shared" si="7"/>
        <v>BAJO</v>
      </c>
      <c r="C446" s="18" t="s">
        <v>6</v>
      </c>
    </row>
    <row r="447" spans="1:3" customFormat="1" ht="15.75" customHeight="1" x14ac:dyDescent="0.25">
      <c r="A447" s="16">
        <f>IF($A$3='[1]Base de datos '!$K$5,'[1]Base de datos '!C445,IF($A$3='[1]Base de datos '!$K$6,'[1]Base de datos '!D445,IF($A$3='[1]Base de datos '!$K$7,'[1]Base de datos '!E445,IF($A$3='[1]Base de datos '!$K$8,'[1]Base de datos '!F445,IF($A$3='[1]Base de datos '!$K$9,'[1]Base de datos '!G445)))))</f>
        <v>234</v>
      </c>
      <c r="B447" s="17" t="str">
        <f t="shared" si="7"/>
        <v>BAJO</v>
      </c>
      <c r="C447" s="18" t="s">
        <v>17</v>
      </c>
    </row>
    <row r="448" spans="1:3" customFormat="1" ht="15.75" customHeight="1" x14ac:dyDescent="0.25">
      <c r="A448" s="16">
        <f>IF($A$3='[1]Base de datos '!$K$5,'[1]Base de datos '!C446,IF($A$3='[1]Base de datos '!$K$6,'[1]Base de datos '!D446,IF($A$3='[1]Base de datos '!$K$7,'[1]Base de datos '!E446,IF($A$3='[1]Base de datos '!$K$8,'[1]Base de datos '!F446,IF($A$3='[1]Base de datos '!$K$9,'[1]Base de datos '!G446)))))</f>
        <v>0</v>
      </c>
      <c r="B448" s="17" t="str">
        <f t="shared" si="7"/>
        <v>BAJO</v>
      </c>
      <c r="C448" s="18" t="s">
        <v>17</v>
      </c>
    </row>
    <row r="449" spans="1:3" customFormat="1" ht="15.75" customHeight="1" x14ac:dyDescent="0.25">
      <c r="A449" s="16">
        <f>IF($A$3='[1]Base de datos '!$K$5,'[1]Base de datos '!C447,IF($A$3='[1]Base de datos '!$K$6,'[1]Base de datos '!D447,IF($A$3='[1]Base de datos '!$K$7,'[1]Base de datos '!E447,IF($A$3='[1]Base de datos '!$K$8,'[1]Base de datos '!F447,IF($A$3='[1]Base de datos '!$K$9,'[1]Base de datos '!G447)))))</f>
        <v>510</v>
      </c>
      <c r="B449" s="17" t="str">
        <f t="shared" si="7"/>
        <v>MEDIO</v>
      </c>
      <c r="C449" s="18" t="s">
        <v>8</v>
      </c>
    </row>
    <row r="450" spans="1:3" customFormat="1" ht="15.75" customHeight="1" x14ac:dyDescent="0.25">
      <c r="A450" s="16">
        <f>IF($A$3='[1]Base de datos '!$K$5,'[1]Base de datos '!C448,IF($A$3='[1]Base de datos '!$K$6,'[1]Base de datos '!D448,IF($A$3='[1]Base de datos '!$K$7,'[1]Base de datos '!E448,IF($A$3='[1]Base de datos '!$K$8,'[1]Base de datos '!F448,IF($A$3='[1]Base de datos '!$K$9,'[1]Base de datos '!G448)))))</f>
        <v>593</v>
      </c>
      <c r="B450" s="17" t="str">
        <f t="shared" si="7"/>
        <v>MEDIO</v>
      </c>
      <c r="C450" s="18" t="s">
        <v>11</v>
      </c>
    </row>
    <row r="451" spans="1:3" customFormat="1" ht="15.75" customHeight="1" x14ac:dyDescent="0.25">
      <c r="A451" s="16">
        <f>IF($A$3='[1]Base de datos '!$K$5,'[1]Base de datos '!C449,IF($A$3='[1]Base de datos '!$K$6,'[1]Base de datos '!D449,IF($A$3='[1]Base de datos '!$K$7,'[1]Base de datos '!E449,IF($A$3='[1]Base de datos '!$K$8,'[1]Base de datos '!F449,IF($A$3='[1]Base de datos '!$K$9,'[1]Base de datos '!G449)))))</f>
        <v>142</v>
      </c>
      <c r="B451" s="17" t="str">
        <f t="shared" si="7"/>
        <v>BAJO</v>
      </c>
      <c r="C451" s="18" t="s">
        <v>8</v>
      </c>
    </row>
    <row r="452" spans="1:3" customFormat="1" ht="15.75" customHeight="1" x14ac:dyDescent="0.25">
      <c r="A452" s="16">
        <f>IF($A$3='[1]Base de datos '!$K$5,'[1]Base de datos '!C450,IF($A$3='[1]Base de datos '!$K$6,'[1]Base de datos '!D450,IF($A$3='[1]Base de datos '!$K$7,'[1]Base de datos '!E450,IF($A$3='[1]Base de datos '!$K$8,'[1]Base de datos '!F450,IF($A$3='[1]Base de datos '!$K$9,'[1]Base de datos '!G450)))))</f>
        <v>439</v>
      </c>
      <c r="B452" s="17" t="str">
        <f t="shared" si="7"/>
        <v>MEDIO</v>
      </c>
      <c r="C452" s="18" t="s">
        <v>17</v>
      </c>
    </row>
    <row r="453" spans="1:3" customFormat="1" ht="15.75" customHeight="1" x14ac:dyDescent="0.25">
      <c r="A453" s="16">
        <f>IF($A$3='[1]Base de datos '!$K$5,'[1]Base de datos '!C451,IF($A$3='[1]Base de datos '!$K$6,'[1]Base de datos '!D451,IF($A$3='[1]Base de datos '!$K$7,'[1]Base de datos '!E451,IF($A$3='[1]Base de datos '!$K$8,'[1]Base de datos '!F451,IF($A$3='[1]Base de datos '!$K$9,'[1]Base de datos '!G451)))))</f>
        <v>157</v>
      </c>
      <c r="B453" s="17" t="str">
        <f t="shared" si="7"/>
        <v>BAJO</v>
      </c>
      <c r="C453" s="18" t="s">
        <v>19</v>
      </c>
    </row>
    <row r="454" spans="1:3" customFormat="1" ht="15.75" customHeight="1" x14ac:dyDescent="0.25">
      <c r="A454" s="16">
        <f>IF($A$3='[1]Base de datos '!$K$5,'[1]Base de datos '!C452,IF($A$3='[1]Base de datos '!$K$6,'[1]Base de datos '!D452,IF($A$3='[1]Base de datos '!$K$7,'[1]Base de datos '!E452,IF($A$3='[1]Base de datos '!$K$8,'[1]Base de datos '!F452,IF($A$3='[1]Base de datos '!$K$9,'[1]Base de datos '!G452)))))</f>
        <v>437</v>
      </c>
      <c r="B454" s="17" t="str">
        <f t="shared" ref="B454:B503" si="8">IF(A454&lt;=$I$5,"BAJO",IF(A454&lt;=$I$6,"MEDIO","ALTO"))</f>
        <v>MEDIO</v>
      </c>
      <c r="C454" s="18" t="s">
        <v>8</v>
      </c>
    </row>
    <row r="455" spans="1:3" customFormat="1" ht="15.75" customHeight="1" x14ac:dyDescent="0.25">
      <c r="A455" s="16">
        <f>IF($A$3='[1]Base de datos '!$K$5,'[1]Base de datos '!C453,IF($A$3='[1]Base de datos '!$K$6,'[1]Base de datos '!D453,IF($A$3='[1]Base de datos '!$K$7,'[1]Base de datos '!E453,IF($A$3='[1]Base de datos '!$K$8,'[1]Base de datos '!F453,IF($A$3='[1]Base de datos '!$K$9,'[1]Base de datos '!G453)))))</f>
        <v>888</v>
      </c>
      <c r="B455" s="17" t="str">
        <f t="shared" si="8"/>
        <v>ALTO</v>
      </c>
      <c r="C455" s="18" t="s">
        <v>17</v>
      </c>
    </row>
    <row r="456" spans="1:3" customFormat="1" ht="15.75" customHeight="1" x14ac:dyDescent="0.25">
      <c r="A456" s="16">
        <f>IF($A$3='[1]Base de datos '!$K$5,'[1]Base de datos '!C454,IF($A$3='[1]Base de datos '!$K$6,'[1]Base de datos '!D454,IF($A$3='[1]Base de datos '!$K$7,'[1]Base de datos '!E454,IF($A$3='[1]Base de datos '!$K$8,'[1]Base de datos '!F454,IF($A$3='[1]Base de datos '!$K$9,'[1]Base de datos '!G454)))))</f>
        <v>634</v>
      </c>
      <c r="B456" s="17" t="str">
        <f t="shared" si="8"/>
        <v>ALTO</v>
      </c>
      <c r="C456" s="18" t="s">
        <v>14</v>
      </c>
    </row>
    <row r="457" spans="1:3" customFormat="1" ht="15.75" customHeight="1" x14ac:dyDescent="0.25">
      <c r="A457" s="16">
        <f>IF($A$3='[1]Base de datos '!$K$5,'[1]Base de datos '!C455,IF($A$3='[1]Base de datos '!$K$6,'[1]Base de datos '!D455,IF($A$3='[1]Base de datos '!$K$7,'[1]Base de datos '!E455,IF($A$3='[1]Base de datos '!$K$8,'[1]Base de datos '!F455,IF($A$3='[1]Base de datos '!$K$9,'[1]Base de datos '!G455)))))</f>
        <v>1000</v>
      </c>
      <c r="B457" s="17" t="str">
        <f t="shared" si="8"/>
        <v>ALTO</v>
      </c>
      <c r="C457" s="18" t="s">
        <v>14</v>
      </c>
    </row>
    <row r="458" spans="1:3" customFormat="1" ht="15.75" customHeight="1" x14ac:dyDescent="0.25">
      <c r="A458" s="16">
        <f>IF($A$3='[1]Base de datos '!$K$5,'[1]Base de datos '!C456,IF($A$3='[1]Base de datos '!$K$6,'[1]Base de datos '!D456,IF($A$3='[1]Base de datos '!$K$7,'[1]Base de datos '!E456,IF($A$3='[1]Base de datos '!$K$8,'[1]Base de datos '!F456,IF($A$3='[1]Base de datos '!$K$9,'[1]Base de datos '!G456)))))</f>
        <v>771</v>
      </c>
      <c r="B458" s="17" t="str">
        <f t="shared" si="8"/>
        <v>ALTO</v>
      </c>
      <c r="C458" s="18" t="s">
        <v>14</v>
      </c>
    </row>
    <row r="459" spans="1:3" customFormat="1" ht="15.75" customHeight="1" x14ac:dyDescent="0.25">
      <c r="A459" s="16">
        <f>IF($A$3='[1]Base de datos '!$K$5,'[1]Base de datos '!C457,IF($A$3='[1]Base de datos '!$K$6,'[1]Base de datos '!D457,IF($A$3='[1]Base de datos '!$K$7,'[1]Base de datos '!E457,IF($A$3='[1]Base de datos '!$K$8,'[1]Base de datos '!F457,IF($A$3='[1]Base de datos '!$K$9,'[1]Base de datos '!G457)))))</f>
        <v>485</v>
      </c>
      <c r="B459" s="17" t="str">
        <f t="shared" si="8"/>
        <v>MEDIO</v>
      </c>
      <c r="C459" s="18" t="s">
        <v>14</v>
      </c>
    </row>
    <row r="460" spans="1:3" customFormat="1" ht="15.75" customHeight="1" x14ac:dyDescent="0.25">
      <c r="A460" s="16">
        <f>IF($A$3='[1]Base de datos '!$K$5,'[1]Base de datos '!C458,IF($A$3='[1]Base de datos '!$K$6,'[1]Base de datos '!D458,IF($A$3='[1]Base de datos '!$K$7,'[1]Base de datos '!E458,IF($A$3='[1]Base de datos '!$K$8,'[1]Base de datos '!F458,IF($A$3='[1]Base de datos '!$K$9,'[1]Base de datos '!G458)))))</f>
        <v>992</v>
      </c>
      <c r="B460" s="17" t="str">
        <f t="shared" si="8"/>
        <v>ALTO</v>
      </c>
      <c r="C460" s="18" t="s">
        <v>11</v>
      </c>
    </row>
    <row r="461" spans="1:3" customFormat="1" ht="15.75" customHeight="1" x14ac:dyDescent="0.25">
      <c r="A461" s="16">
        <f>IF($A$3='[1]Base de datos '!$K$5,'[1]Base de datos '!C459,IF($A$3='[1]Base de datos '!$K$6,'[1]Base de datos '!D459,IF($A$3='[1]Base de datos '!$K$7,'[1]Base de datos '!E459,IF($A$3='[1]Base de datos '!$K$8,'[1]Base de datos '!F459,IF($A$3='[1]Base de datos '!$K$9,'[1]Base de datos '!G459)))))</f>
        <v>821</v>
      </c>
      <c r="B461" s="17" t="str">
        <f t="shared" si="8"/>
        <v>ALTO</v>
      </c>
      <c r="C461" s="18" t="s">
        <v>19</v>
      </c>
    </row>
    <row r="462" spans="1:3" customFormat="1" ht="15.75" customHeight="1" x14ac:dyDescent="0.25">
      <c r="A462" s="16">
        <f>IF($A$3='[1]Base de datos '!$K$5,'[1]Base de datos '!C460,IF($A$3='[1]Base de datos '!$K$6,'[1]Base de datos '!D460,IF($A$3='[1]Base de datos '!$K$7,'[1]Base de datos '!E460,IF($A$3='[1]Base de datos '!$K$8,'[1]Base de datos '!F460,IF($A$3='[1]Base de datos '!$K$9,'[1]Base de datos '!G460)))))</f>
        <v>168</v>
      </c>
      <c r="B462" s="17" t="str">
        <f t="shared" si="8"/>
        <v>BAJO</v>
      </c>
      <c r="C462" s="18" t="s">
        <v>19</v>
      </c>
    </row>
    <row r="463" spans="1:3" customFormat="1" ht="15.75" customHeight="1" x14ac:dyDescent="0.25">
      <c r="A463" s="16">
        <f>IF($A$3='[1]Base de datos '!$K$5,'[1]Base de datos '!C461,IF($A$3='[1]Base de datos '!$K$6,'[1]Base de datos '!D461,IF($A$3='[1]Base de datos '!$K$7,'[1]Base de datos '!E461,IF($A$3='[1]Base de datos '!$K$8,'[1]Base de datos '!F461,IF($A$3='[1]Base de datos '!$K$9,'[1]Base de datos '!G461)))))</f>
        <v>512</v>
      </c>
      <c r="B463" s="17" t="str">
        <f t="shared" si="8"/>
        <v>MEDIO</v>
      </c>
      <c r="C463" s="18" t="s">
        <v>19</v>
      </c>
    </row>
    <row r="464" spans="1:3" customFormat="1" ht="15.75" customHeight="1" x14ac:dyDescent="0.25">
      <c r="A464" s="16">
        <f>IF($A$3='[1]Base de datos '!$K$5,'[1]Base de datos '!C462,IF($A$3='[1]Base de datos '!$K$6,'[1]Base de datos '!D462,IF($A$3='[1]Base de datos '!$K$7,'[1]Base de datos '!E462,IF($A$3='[1]Base de datos '!$K$8,'[1]Base de datos '!F462,IF($A$3='[1]Base de datos '!$K$9,'[1]Base de datos '!G462)))))</f>
        <v>414</v>
      </c>
      <c r="B464" s="17" t="str">
        <f t="shared" si="8"/>
        <v>MEDIO</v>
      </c>
      <c r="C464" s="18" t="s">
        <v>11</v>
      </c>
    </row>
    <row r="465" spans="1:3" customFormat="1" ht="15.75" customHeight="1" x14ac:dyDescent="0.25">
      <c r="A465" s="16">
        <f>IF($A$3='[1]Base de datos '!$K$5,'[1]Base de datos '!C463,IF($A$3='[1]Base de datos '!$K$6,'[1]Base de datos '!D463,IF($A$3='[1]Base de datos '!$K$7,'[1]Base de datos '!E463,IF($A$3='[1]Base de datos '!$K$8,'[1]Base de datos '!F463,IF($A$3='[1]Base de datos '!$K$9,'[1]Base de datos '!G463)))))</f>
        <v>545</v>
      </c>
      <c r="B465" s="17" t="str">
        <f t="shared" si="8"/>
        <v>MEDIO</v>
      </c>
      <c r="C465" s="18" t="s">
        <v>6</v>
      </c>
    </row>
    <row r="466" spans="1:3" customFormat="1" ht="15.75" customHeight="1" x14ac:dyDescent="0.25">
      <c r="A466" s="16">
        <f>IF($A$3='[1]Base de datos '!$K$5,'[1]Base de datos '!C464,IF($A$3='[1]Base de datos '!$K$6,'[1]Base de datos '!D464,IF($A$3='[1]Base de datos '!$K$7,'[1]Base de datos '!E464,IF($A$3='[1]Base de datos '!$K$8,'[1]Base de datos '!F464,IF($A$3='[1]Base de datos '!$K$9,'[1]Base de datos '!G464)))))</f>
        <v>678</v>
      </c>
      <c r="B466" s="17" t="str">
        <f t="shared" si="8"/>
        <v>ALTO</v>
      </c>
      <c r="C466" s="18" t="s">
        <v>18</v>
      </c>
    </row>
    <row r="467" spans="1:3" customFormat="1" ht="15.75" customHeight="1" x14ac:dyDescent="0.25">
      <c r="A467" s="16">
        <f>IF($A$3='[1]Base de datos '!$K$5,'[1]Base de datos '!C465,IF($A$3='[1]Base de datos '!$K$6,'[1]Base de datos '!D465,IF($A$3='[1]Base de datos '!$K$7,'[1]Base de datos '!E465,IF($A$3='[1]Base de datos '!$K$8,'[1]Base de datos '!F465,IF($A$3='[1]Base de datos '!$K$9,'[1]Base de datos '!G465)))))</f>
        <v>881</v>
      </c>
      <c r="B467" s="17" t="str">
        <f t="shared" si="8"/>
        <v>ALTO</v>
      </c>
      <c r="C467" s="18" t="s">
        <v>17</v>
      </c>
    </row>
    <row r="468" spans="1:3" customFormat="1" ht="15.75" customHeight="1" x14ac:dyDescent="0.25">
      <c r="A468" s="16">
        <f>IF($A$3='[1]Base de datos '!$K$5,'[1]Base de datos '!C466,IF($A$3='[1]Base de datos '!$K$6,'[1]Base de datos '!D466,IF($A$3='[1]Base de datos '!$K$7,'[1]Base de datos '!E466,IF($A$3='[1]Base de datos '!$K$8,'[1]Base de datos '!F466,IF($A$3='[1]Base de datos '!$K$9,'[1]Base de datos '!G466)))))</f>
        <v>666</v>
      </c>
      <c r="B468" s="17" t="str">
        <f t="shared" si="8"/>
        <v>ALTO</v>
      </c>
      <c r="C468" s="18" t="s">
        <v>19</v>
      </c>
    </row>
    <row r="469" spans="1:3" customFormat="1" ht="15.75" customHeight="1" x14ac:dyDescent="0.25">
      <c r="A469" s="16">
        <f>IF($A$3='[1]Base de datos '!$K$5,'[1]Base de datos '!C467,IF($A$3='[1]Base de datos '!$K$6,'[1]Base de datos '!D467,IF($A$3='[1]Base de datos '!$K$7,'[1]Base de datos '!E467,IF($A$3='[1]Base de datos '!$K$8,'[1]Base de datos '!F467,IF($A$3='[1]Base de datos '!$K$9,'[1]Base de datos '!G467)))))</f>
        <v>526</v>
      </c>
      <c r="B469" s="17" t="str">
        <f t="shared" si="8"/>
        <v>MEDIO</v>
      </c>
      <c r="C469" s="18" t="s">
        <v>19</v>
      </c>
    </row>
    <row r="470" spans="1:3" customFormat="1" ht="15.75" customHeight="1" x14ac:dyDescent="0.25">
      <c r="A470" s="16">
        <f>IF($A$3='[1]Base de datos '!$K$5,'[1]Base de datos '!C468,IF($A$3='[1]Base de datos '!$K$6,'[1]Base de datos '!D468,IF($A$3='[1]Base de datos '!$K$7,'[1]Base de datos '!E468,IF($A$3='[1]Base de datos '!$K$8,'[1]Base de datos '!F468,IF($A$3='[1]Base de datos '!$K$9,'[1]Base de datos '!G468)))))</f>
        <v>824</v>
      </c>
      <c r="B470" s="17" t="str">
        <f t="shared" si="8"/>
        <v>ALTO</v>
      </c>
      <c r="C470" s="18" t="s">
        <v>6</v>
      </c>
    </row>
    <row r="471" spans="1:3" customFormat="1" ht="15.75" customHeight="1" x14ac:dyDescent="0.25">
      <c r="A471" s="16">
        <f>IF($A$3='[1]Base de datos '!$K$5,'[1]Base de datos '!C469,IF($A$3='[1]Base de datos '!$K$6,'[1]Base de datos '!D469,IF($A$3='[1]Base de datos '!$K$7,'[1]Base de datos '!E469,IF($A$3='[1]Base de datos '!$K$8,'[1]Base de datos '!F469,IF($A$3='[1]Base de datos '!$K$9,'[1]Base de datos '!G469)))))</f>
        <v>527</v>
      </c>
      <c r="B471" s="17" t="str">
        <f t="shared" si="8"/>
        <v>MEDIO</v>
      </c>
      <c r="C471" s="18" t="s">
        <v>17</v>
      </c>
    </row>
    <row r="472" spans="1:3" customFormat="1" ht="15.75" customHeight="1" x14ac:dyDescent="0.25">
      <c r="A472" s="16">
        <f>IF($A$3='[1]Base de datos '!$K$5,'[1]Base de datos '!C470,IF($A$3='[1]Base de datos '!$K$6,'[1]Base de datos '!D470,IF($A$3='[1]Base de datos '!$K$7,'[1]Base de datos '!E470,IF($A$3='[1]Base de datos '!$K$8,'[1]Base de datos '!F470,IF($A$3='[1]Base de datos '!$K$9,'[1]Base de datos '!G470)))))</f>
        <v>758</v>
      </c>
      <c r="B472" s="17" t="str">
        <f t="shared" si="8"/>
        <v>ALTO</v>
      </c>
      <c r="C472" s="18" t="s">
        <v>17</v>
      </c>
    </row>
    <row r="473" spans="1:3" customFormat="1" ht="15.75" customHeight="1" x14ac:dyDescent="0.25">
      <c r="A473" s="16">
        <f>IF($A$3='[1]Base de datos '!$K$5,'[1]Base de datos '!C471,IF($A$3='[1]Base de datos '!$K$6,'[1]Base de datos '!D471,IF($A$3='[1]Base de datos '!$K$7,'[1]Base de datos '!E471,IF($A$3='[1]Base de datos '!$K$8,'[1]Base de datos '!F471,IF($A$3='[1]Base de datos '!$K$9,'[1]Base de datos '!G471)))))</f>
        <v>548</v>
      </c>
      <c r="B473" s="17" t="str">
        <f t="shared" si="8"/>
        <v>MEDIO</v>
      </c>
      <c r="C473" s="18" t="s">
        <v>6</v>
      </c>
    </row>
    <row r="474" spans="1:3" customFormat="1" ht="15.75" customHeight="1" x14ac:dyDescent="0.25">
      <c r="A474" s="16">
        <f>IF($A$3='[1]Base de datos '!$K$5,'[1]Base de datos '!C472,IF($A$3='[1]Base de datos '!$K$6,'[1]Base de datos '!D472,IF($A$3='[1]Base de datos '!$K$7,'[1]Base de datos '!E472,IF($A$3='[1]Base de datos '!$K$8,'[1]Base de datos '!F472,IF($A$3='[1]Base de datos '!$K$9,'[1]Base de datos '!G472)))))</f>
        <v>916</v>
      </c>
      <c r="B474" s="17" t="str">
        <f t="shared" si="8"/>
        <v>ALTO</v>
      </c>
      <c r="C474" s="18" t="s">
        <v>14</v>
      </c>
    </row>
    <row r="475" spans="1:3" customFormat="1" ht="15.75" customHeight="1" x14ac:dyDescent="0.25">
      <c r="A475" s="16">
        <f>IF($A$3='[1]Base de datos '!$K$5,'[1]Base de datos '!C473,IF($A$3='[1]Base de datos '!$K$6,'[1]Base de datos '!D473,IF($A$3='[1]Base de datos '!$K$7,'[1]Base de datos '!E473,IF($A$3='[1]Base de datos '!$K$8,'[1]Base de datos '!F473,IF($A$3='[1]Base de datos '!$K$9,'[1]Base de datos '!G473)))))</f>
        <v>621</v>
      </c>
      <c r="B475" s="17" t="str">
        <f t="shared" si="8"/>
        <v>MEDIO</v>
      </c>
      <c r="C475" s="18" t="s">
        <v>11</v>
      </c>
    </row>
    <row r="476" spans="1:3" customFormat="1" ht="15.75" customHeight="1" x14ac:dyDescent="0.25">
      <c r="A476" s="16">
        <f>IF($A$3='[1]Base de datos '!$K$5,'[1]Base de datos '!C474,IF($A$3='[1]Base de datos '!$K$6,'[1]Base de datos '!D474,IF($A$3='[1]Base de datos '!$K$7,'[1]Base de datos '!E474,IF($A$3='[1]Base de datos '!$K$8,'[1]Base de datos '!F474,IF($A$3='[1]Base de datos '!$K$9,'[1]Base de datos '!G474)))))</f>
        <v>462</v>
      </c>
      <c r="B476" s="17" t="str">
        <f t="shared" si="8"/>
        <v>MEDIO</v>
      </c>
      <c r="C476" s="18" t="s">
        <v>17</v>
      </c>
    </row>
    <row r="477" spans="1:3" customFormat="1" ht="15.75" customHeight="1" x14ac:dyDescent="0.25">
      <c r="A477" s="16">
        <f>IF($A$3='[1]Base de datos '!$K$5,'[1]Base de datos '!C475,IF($A$3='[1]Base de datos '!$K$6,'[1]Base de datos '!D475,IF($A$3='[1]Base de datos '!$K$7,'[1]Base de datos '!E475,IF($A$3='[1]Base de datos '!$K$8,'[1]Base de datos '!F475,IF($A$3='[1]Base de datos '!$K$9,'[1]Base de datos '!G475)))))</f>
        <v>284</v>
      </c>
      <c r="B477" s="17" t="str">
        <f t="shared" si="8"/>
        <v>BAJO</v>
      </c>
      <c r="C477" s="18" t="s">
        <v>14</v>
      </c>
    </row>
    <row r="478" spans="1:3" customFormat="1" ht="15.75" customHeight="1" x14ac:dyDescent="0.25">
      <c r="A478" s="16">
        <f>IF($A$3='[1]Base de datos '!$K$5,'[1]Base de datos '!C476,IF($A$3='[1]Base de datos '!$K$6,'[1]Base de datos '!D476,IF($A$3='[1]Base de datos '!$K$7,'[1]Base de datos '!E476,IF($A$3='[1]Base de datos '!$K$8,'[1]Base de datos '!F476,IF($A$3='[1]Base de datos '!$K$9,'[1]Base de datos '!G476)))))</f>
        <v>632</v>
      </c>
      <c r="B478" s="17" t="str">
        <f t="shared" si="8"/>
        <v>ALTO</v>
      </c>
      <c r="C478" s="18" t="s">
        <v>14</v>
      </c>
    </row>
    <row r="479" spans="1:3" customFormat="1" ht="15.75" customHeight="1" x14ac:dyDescent="0.25">
      <c r="A479" s="16">
        <f>IF($A$3='[1]Base de datos '!$K$5,'[1]Base de datos '!C477,IF($A$3='[1]Base de datos '!$K$6,'[1]Base de datos '!D477,IF($A$3='[1]Base de datos '!$K$7,'[1]Base de datos '!E477,IF($A$3='[1]Base de datos '!$K$8,'[1]Base de datos '!F477,IF($A$3='[1]Base de datos '!$K$9,'[1]Base de datos '!G477)))))</f>
        <v>477</v>
      </c>
      <c r="B479" s="17" t="str">
        <f t="shared" si="8"/>
        <v>MEDIO</v>
      </c>
      <c r="C479" s="18" t="s">
        <v>6</v>
      </c>
    </row>
    <row r="480" spans="1:3" customFormat="1" ht="15.75" customHeight="1" x14ac:dyDescent="0.25">
      <c r="A480" s="16">
        <f>IF($A$3='[1]Base de datos '!$K$5,'[1]Base de datos '!C478,IF($A$3='[1]Base de datos '!$K$6,'[1]Base de datos '!D478,IF($A$3='[1]Base de datos '!$K$7,'[1]Base de datos '!E478,IF($A$3='[1]Base de datos '!$K$8,'[1]Base de datos '!F478,IF($A$3='[1]Base de datos '!$K$9,'[1]Base de datos '!G478)))))</f>
        <v>939</v>
      </c>
      <c r="B480" s="17" t="str">
        <f t="shared" si="8"/>
        <v>ALTO</v>
      </c>
      <c r="C480" s="18" t="s">
        <v>8</v>
      </c>
    </row>
    <row r="481" spans="1:3" customFormat="1" ht="15.75" customHeight="1" x14ac:dyDescent="0.25">
      <c r="A481" s="16">
        <f>IF($A$3='[1]Base de datos '!$K$5,'[1]Base de datos '!C479,IF($A$3='[1]Base de datos '!$K$6,'[1]Base de datos '!D479,IF($A$3='[1]Base de datos '!$K$7,'[1]Base de datos '!E479,IF($A$3='[1]Base de datos '!$K$8,'[1]Base de datos '!F479,IF($A$3='[1]Base de datos '!$K$9,'[1]Base de datos '!G479)))))</f>
        <v>758</v>
      </c>
      <c r="B481" s="17" t="str">
        <f t="shared" si="8"/>
        <v>ALTO</v>
      </c>
      <c r="C481" s="18" t="s">
        <v>8</v>
      </c>
    </row>
    <row r="482" spans="1:3" customFormat="1" ht="15.75" customHeight="1" x14ac:dyDescent="0.25">
      <c r="A482" s="16">
        <f>IF($A$3='[1]Base de datos '!$K$5,'[1]Base de datos '!C480,IF($A$3='[1]Base de datos '!$K$6,'[1]Base de datos '!D480,IF($A$3='[1]Base de datos '!$K$7,'[1]Base de datos '!E480,IF($A$3='[1]Base de datos '!$K$8,'[1]Base de datos '!F480,IF($A$3='[1]Base de datos '!$K$9,'[1]Base de datos '!G480)))))</f>
        <v>666</v>
      </c>
      <c r="B482" s="17" t="str">
        <f t="shared" si="8"/>
        <v>ALTO</v>
      </c>
      <c r="C482" s="18" t="s">
        <v>11</v>
      </c>
    </row>
    <row r="483" spans="1:3" customFormat="1" ht="15.75" customHeight="1" x14ac:dyDescent="0.25">
      <c r="A483" s="16">
        <f>IF($A$3='[1]Base de datos '!$K$5,'[1]Base de datos '!C481,IF($A$3='[1]Base de datos '!$K$6,'[1]Base de datos '!D481,IF($A$3='[1]Base de datos '!$K$7,'[1]Base de datos '!E481,IF($A$3='[1]Base de datos '!$K$8,'[1]Base de datos '!F481,IF($A$3='[1]Base de datos '!$K$9,'[1]Base de datos '!G481)))))</f>
        <v>522</v>
      </c>
      <c r="B483" s="17" t="str">
        <f t="shared" si="8"/>
        <v>MEDIO</v>
      </c>
      <c r="C483" s="18" t="s">
        <v>6</v>
      </c>
    </row>
    <row r="484" spans="1:3" customFormat="1" ht="15.75" customHeight="1" x14ac:dyDescent="0.25">
      <c r="A484" s="16">
        <f>IF($A$3='[1]Base de datos '!$K$5,'[1]Base de datos '!C482,IF($A$3='[1]Base de datos '!$K$6,'[1]Base de datos '!D482,IF($A$3='[1]Base de datos '!$K$7,'[1]Base de datos '!E482,IF($A$3='[1]Base de datos '!$K$8,'[1]Base de datos '!F482,IF($A$3='[1]Base de datos '!$K$9,'[1]Base de datos '!G482)))))</f>
        <v>753</v>
      </c>
      <c r="B484" s="17" t="str">
        <f t="shared" si="8"/>
        <v>ALTO</v>
      </c>
      <c r="C484" s="18" t="s">
        <v>6</v>
      </c>
    </row>
    <row r="485" spans="1:3" customFormat="1" ht="15.75" customHeight="1" x14ac:dyDescent="0.25">
      <c r="A485" s="16">
        <f>IF($A$3='[1]Base de datos '!$K$5,'[1]Base de datos '!C483,IF($A$3='[1]Base de datos '!$K$6,'[1]Base de datos '!D483,IF($A$3='[1]Base de datos '!$K$7,'[1]Base de datos '!E483,IF($A$3='[1]Base de datos '!$K$8,'[1]Base de datos '!F483,IF($A$3='[1]Base de datos '!$K$9,'[1]Base de datos '!G483)))))</f>
        <v>355</v>
      </c>
      <c r="B485" s="17" t="str">
        <f t="shared" si="8"/>
        <v>MEDIO</v>
      </c>
      <c r="C485" s="18" t="s">
        <v>6</v>
      </c>
    </row>
    <row r="486" spans="1:3" customFormat="1" ht="15.75" customHeight="1" x14ac:dyDescent="0.25">
      <c r="A486" s="16">
        <f>IF($A$3='[1]Base de datos '!$K$5,'[1]Base de datos '!C484,IF($A$3='[1]Base de datos '!$K$6,'[1]Base de datos '!D484,IF($A$3='[1]Base de datos '!$K$7,'[1]Base de datos '!E484,IF($A$3='[1]Base de datos '!$K$8,'[1]Base de datos '!F484,IF($A$3='[1]Base de datos '!$K$9,'[1]Base de datos '!G484)))))</f>
        <v>98</v>
      </c>
      <c r="B486" s="17" t="str">
        <f t="shared" si="8"/>
        <v>BAJO</v>
      </c>
      <c r="C486" s="18" t="s">
        <v>6</v>
      </c>
    </row>
    <row r="487" spans="1:3" customFormat="1" ht="15.75" customHeight="1" x14ac:dyDescent="0.25">
      <c r="A487" s="16">
        <f>IF($A$3='[1]Base de datos '!$K$5,'[1]Base de datos '!C485,IF($A$3='[1]Base de datos '!$K$6,'[1]Base de datos '!D485,IF($A$3='[1]Base de datos '!$K$7,'[1]Base de datos '!E485,IF($A$3='[1]Base de datos '!$K$8,'[1]Base de datos '!F485,IF($A$3='[1]Base de datos '!$K$9,'[1]Base de datos '!G485)))))</f>
        <v>286</v>
      </c>
      <c r="B487" s="17" t="str">
        <f t="shared" si="8"/>
        <v>BAJO</v>
      </c>
      <c r="C487" s="18" t="s">
        <v>8</v>
      </c>
    </row>
    <row r="488" spans="1:3" customFormat="1" ht="15.75" customHeight="1" x14ac:dyDescent="0.25">
      <c r="A488" s="16">
        <f>IF($A$3='[1]Base de datos '!$K$5,'[1]Base de datos '!C486,IF($A$3='[1]Base de datos '!$K$6,'[1]Base de datos '!D486,IF($A$3='[1]Base de datos '!$K$7,'[1]Base de datos '!E486,IF($A$3='[1]Base de datos '!$K$8,'[1]Base de datos '!F486,IF($A$3='[1]Base de datos '!$K$9,'[1]Base de datos '!G486)))))</f>
        <v>620</v>
      </c>
      <c r="B488" s="17" t="str">
        <f t="shared" si="8"/>
        <v>MEDIO</v>
      </c>
      <c r="C488" s="18" t="s">
        <v>6</v>
      </c>
    </row>
    <row r="489" spans="1:3" customFormat="1" ht="15.75" customHeight="1" x14ac:dyDescent="0.25">
      <c r="A489" s="16">
        <f>IF($A$3='[1]Base de datos '!$K$5,'[1]Base de datos '!C487,IF($A$3='[1]Base de datos '!$K$6,'[1]Base de datos '!D487,IF($A$3='[1]Base de datos '!$K$7,'[1]Base de datos '!E487,IF($A$3='[1]Base de datos '!$K$8,'[1]Base de datos '!F487,IF($A$3='[1]Base de datos '!$K$9,'[1]Base de datos '!G487)))))</f>
        <v>1131</v>
      </c>
      <c r="B489" s="17" t="str">
        <f t="shared" si="8"/>
        <v>ALTO</v>
      </c>
      <c r="C489" s="18" t="s">
        <v>11</v>
      </c>
    </row>
    <row r="490" spans="1:3" customFormat="1" ht="15.75" customHeight="1" x14ac:dyDescent="0.25">
      <c r="A490" s="16">
        <f>IF($A$3='[1]Base de datos '!$K$5,'[1]Base de datos '!C488,IF($A$3='[1]Base de datos '!$K$6,'[1]Base de datos '!D488,IF($A$3='[1]Base de datos '!$K$7,'[1]Base de datos '!E488,IF($A$3='[1]Base de datos '!$K$8,'[1]Base de datos '!F488,IF($A$3='[1]Base de datos '!$K$9,'[1]Base de datos '!G488)))))</f>
        <v>871</v>
      </c>
      <c r="B490" s="17" t="str">
        <f t="shared" si="8"/>
        <v>ALTO</v>
      </c>
      <c r="C490" s="18" t="s">
        <v>6</v>
      </c>
    </row>
    <row r="491" spans="1:3" customFormat="1" ht="15.75" customHeight="1" x14ac:dyDescent="0.25">
      <c r="A491" s="16">
        <f>IF($A$3='[1]Base de datos '!$K$5,'[1]Base de datos '!C489,IF($A$3='[1]Base de datos '!$K$6,'[1]Base de datos '!D489,IF($A$3='[1]Base de datos '!$K$7,'[1]Base de datos '!E489,IF($A$3='[1]Base de datos '!$K$8,'[1]Base de datos '!F489,IF($A$3='[1]Base de datos '!$K$9,'[1]Base de datos '!G489)))))</f>
        <v>639</v>
      </c>
      <c r="B491" s="17" t="str">
        <f t="shared" si="8"/>
        <v>ALTO</v>
      </c>
      <c r="C491" s="18" t="s">
        <v>14</v>
      </c>
    </row>
    <row r="492" spans="1:3" customFormat="1" ht="15.75" customHeight="1" x14ac:dyDescent="0.25">
      <c r="A492" s="16">
        <f>IF($A$3='[1]Base de datos '!$K$5,'[1]Base de datos '!C490,IF($A$3='[1]Base de datos '!$K$6,'[1]Base de datos '!D490,IF($A$3='[1]Base de datos '!$K$7,'[1]Base de datos '!E490,IF($A$3='[1]Base de datos '!$K$8,'[1]Base de datos '!F490,IF($A$3='[1]Base de datos '!$K$9,'[1]Base de datos '!G490)))))</f>
        <v>527</v>
      </c>
      <c r="B492" s="17" t="str">
        <f t="shared" si="8"/>
        <v>MEDIO</v>
      </c>
      <c r="C492" s="18" t="s">
        <v>6</v>
      </c>
    </row>
    <row r="493" spans="1:3" customFormat="1" ht="15.75" customHeight="1" x14ac:dyDescent="0.25">
      <c r="A493" s="16">
        <f>IF($A$3='[1]Base de datos '!$K$5,'[1]Base de datos '!C491,IF($A$3='[1]Base de datos '!$K$6,'[1]Base de datos '!D491,IF($A$3='[1]Base de datos '!$K$7,'[1]Base de datos '!E491,IF($A$3='[1]Base de datos '!$K$8,'[1]Base de datos '!F491,IF($A$3='[1]Base de datos '!$K$9,'[1]Base de datos '!G491)))))</f>
        <v>528</v>
      </c>
      <c r="B493" s="17" t="str">
        <f t="shared" si="8"/>
        <v>MEDIO</v>
      </c>
      <c r="C493" s="18" t="s">
        <v>8</v>
      </c>
    </row>
    <row r="494" spans="1:3" customFormat="1" ht="15.75" customHeight="1" x14ac:dyDescent="0.25">
      <c r="A494" s="16">
        <f>IF($A$3='[1]Base de datos '!$K$5,'[1]Base de datos '!C492,IF($A$3='[1]Base de datos '!$K$6,'[1]Base de datos '!D492,IF($A$3='[1]Base de datos '!$K$7,'[1]Base de datos '!E492,IF($A$3='[1]Base de datos '!$K$8,'[1]Base de datos '!F492,IF($A$3='[1]Base de datos '!$K$9,'[1]Base de datos '!G492)))))</f>
        <v>589</v>
      </c>
      <c r="B494" s="17" t="str">
        <f t="shared" si="8"/>
        <v>MEDIO</v>
      </c>
      <c r="C494" s="18" t="s">
        <v>19</v>
      </c>
    </row>
    <row r="495" spans="1:3" customFormat="1" ht="15.75" customHeight="1" x14ac:dyDescent="0.25">
      <c r="A495" s="16">
        <f>IF($A$3='[1]Base de datos '!$K$5,'[1]Base de datos '!C493,IF($A$3='[1]Base de datos '!$K$6,'[1]Base de datos '!D493,IF($A$3='[1]Base de datos '!$K$7,'[1]Base de datos '!E493,IF($A$3='[1]Base de datos '!$K$8,'[1]Base de datos '!F493,IF($A$3='[1]Base de datos '!$K$9,'[1]Base de datos '!G493)))))</f>
        <v>549</v>
      </c>
      <c r="B495" s="17" t="str">
        <f t="shared" si="8"/>
        <v>MEDIO</v>
      </c>
      <c r="C495" s="18" t="s">
        <v>19</v>
      </c>
    </row>
    <row r="496" spans="1:3" customFormat="1" ht="15.75" customHeight="1" x14ac:dyDescent="0.25">
      <c r="A496" s="16">
        <f>IF($A$3='[1]Base de datos '!$K$5,'[1]Base de datos '!C494,IF($A$3='[1]Base de datos '!$K$6,'[1]Base de datos '!D494,IF($A$3='[1]Base de datos '!$K$7,'[1]Base de datos '!E494,IF($A$3='[1]Base de datos '!$K$8,'[1]Base de datos '!F494,IF($A$3='[1]Base de datos '!$K$9,'[1]Base de datos '!G494)))))</f>
        <v>948</v>
      </c>
      <c r="B496" s="17" t="str">
        <f t="shared" si="8"/>
        <v>ALTO</v>
      </c>
      <c r="C496" s="18" t="s">
        <v>17</v>
      </c>
    </row>
    <row r="497" spans="1:3" customFormat="1" ht="15.75" customHeight="1" x14ac:dyDescent="0.25">
      <c r="A497" s="16">
        <f>IF($A$3='[1]Base de datos '!$K$5,'[1]Base de datos '!C495,IF($A$3='[1]Base de datos '!$K$6,'[1]Base de datos '!D495,IF($A$3='[1]Base de datos '!$K$7,'[1]Base de datos '!E495,IF($A$3='[1]Base de datos '!$K$8,'[1]Base de datos '!F495,IF($A$3='[1]Base de datos '!$K$9,'[1]Base de datos '!G495)))))</f>
        <v>183</v>
      </c>
      <c r="B497" s="17" t="str">
        <f t="shared" si="8"/>
        <v>BAJO</v>
      </c>
      <c r="C497" s="18" t="s">
        <v>14</v>
      </c>
    </row>
    <row r="498" spans="1:3" customFormat="1" ht="15.75" customHeight="1" x14ac:dyDescent="0.25">
      <c r="A498" s="16">
        <f>IF($A$3='[1]Base de datos '!$K$5,'[1]Base de datos '!C496,IF($A$3='[1]Base de datos '!$K$6,'[1]Base de datos '!D496,IF($A$3='[1]Base de datos '!$K$7,'[1]Base de datos '!E496,IF($A$3='[1]Base de datos '!$K$8,'[1]Base de datos '!F496,IF($A$3='[1]Base de datos '!$K$9,'[1]Base de datos '!G496)))))</f>
        <v>879</v>
      </c>
      <c r="B498" s="17" t="str">
        <f t="shared" si="8"/>
        <v>ALTO</v>
      </c>
      <c r="C498" s="18" t="s">
        <v>11</v>
      </c>
    </row>
    <row r="499" spans="1:3" customFormat="1" ht="15.75" customHeight="1" x14ac:dyDescent="0.25">
      <c r="A499" s="16">
        <f>IF($A$3='[1]Base de datos '!$K$5,'[1]Base de datos '!C497,IF($A$3='[1]Base de datos '!$K$6,'[1]Base de datos '!D497,IF($A$3='[1]Base de datos '!$K$7,'[1]Base de datos '!E497,IF($A$3='[1]Base de datos '!$K$8,'[1]Base de datos '!F497,IF($A$3='[1]Base de datos '!$K$9,'[1]Base de datos '!G497)))))</f>
        <v>501</v>
      </c>
      <c r="B499" s="17" t="str">
        <f t="shared" si="8"/>
        <v>MEDIO</v>
      </c>
      <c r="C499" s="18" t="s">
        <v>8</v>
      </c>
    </row>
    <row r="500" spans="1:3" customFormat="1" ht="15.75" customHeight="1" x14ac:dyDescent="0.25">
      <c r="A500" s="16">
        <f>IF($A$3='[1]Base de datos '!$K$5,'[1]Base de datos '!C498,IF($A$3='[1]Base de datos '!$K$6,'[1]Base de datos '!D498,IF($A$3='[1]Base de datos '!$K$7,'[1]Base de datos '!E498,IF($A$3='[1]Base de datos '!$K$8,'[1]Base de datos '!F498,IF($A$3='[1]Base de datos '!$K$9,'[1]Base de datos '!G498)))))</f>
        <v>300</v>
      </c>
      <c r="B500" s="17" t="str">
        <f t="shared" si="8"/>
        <v>BAJO</v>
      </c>
      <c r="C500" s="18" t="s">
        <v>11</v>
      </c>
    </row>
    <row r="501" spans="1:3" customFormat="1" ht="15.75" customHeight="1" x14ac:dyDescent="0.25">
      <c r="A501" s="16">
        <f>IF($A$3='[1]Base de datos '!$K$5,'[1]Base de datos '!C499,IF($A$3='[1]Base de datos '!$K$6,'[1]Base de datos '!D499,IF($A$3='[1]Base de datos '!$K$7,'[1]Base de datos '!E499,IF($A$3='[1]Base de datos '!$K$8,'[1]Base de datos '!F499,IF($A$3='[1]Base de datos '!$K$9,'[1]Base de datos '!G499)))))</f>
        <v>441</v>
      </c>
      <c r="B501" s="17" t="str">
        <f t="shared" si="8"/>
        <v>MEDIO</v>
      </c>
      <c r="C501" s="18" t="s">
        <v>19</v>
      </c>
    </row>
    <row r="502" spans="1:3" customFormat="1" ht="15.75" customHeight="1" x14ac:dyDescent="0.25">
      <c r="A502" s="16">
        <f>IF($A$3='[1]Base de datos '!$K$5,'[1]Base de datos '!C500,IF($A$3='[1]Base de datos '!$K$6,'[1]Base de datos '!D500,IF($A$3='[1]Base de datos '!$K$7,'[1]Base de datos '!E500,IF($A$3='[1]Base de datos '!$K$8,'[1]Base de datos '!F500,IF($A$3='[1]Base de datos '!$K$9,'[1]Base de datos '!G500)))))</f>
        <v>566</v>
      </c>
      <c r="B502" s="17" t="str">
        <f t="shared" si="8"/>
        <v>MEDIO</v>
      </c>
      <c r="C502" s="18" t="s">
        <v>18</v>
      </c>
    </row>
    <row r="503" spans="1:3" customFormat="1" ht="15.75" customHeight="1" x14ac:dyDescent="0.25">
      <c r="A503" s="16">
        <f>IF($A$3='[1]Base de datos '!$K$5,'[1]Base de datos '!C501,IF($A$3='[1]Base de datos '!$K$6,'[1]Base de datos '!D501,IF($A$3='[1]Base de datos '!$K$7,'[1]Base de datos '!E501,IF($A$3='[1]Base de datos '!$K$8,'[1]Base de datos '!F501,IF($A$3='[1]Base de datos '!$K$9,'[1]Base de datos '!G501)))))</f>
        <v>934</v>
      </c>
      <c r="B503" s="17" t="str">
        <f t="shared" si="8"/>
        <v>ALTO</v>
      </c>
      <c r="C503" s="18" t="s">
        <v>14</v>
      </c>
    </row>
    <row r="504" spans="1:3" customFormat="1" ht="15.75" customHeight="1" x14ac:dyDescent="0.25">
      <c r="A504" s="1"/>
      <c r="B504" s="1"/>
      <c r="C504" s="1"/>
    </row>
    <row r="505" spans="1:3" customFormat="1" ht="15.75" customHeight="1" x14ac:dyDescent="0.25">
      <c r="A505" s="1"/>
      <c r="B505" s="1"/>
      <c r="C505" s="1"/>
    </row>
    <row r="506" spans="1:3" customFormat="1" ht="15.75" customHeight="1" x14ac:dyDescent="0.25">
      <c r="A506" s="1"/>
      <c r="B506" s="1"/>
      <c r="C506" s="1"/>
    </row>
    <row r="507" spans="1:3" customFormat="1" ht="15.75" customHeight="1" x14ac:dyDescent="0.25">
      <c r="A507" s="1"/>
      <c r="B507" s="1"/>
      <c r="C507" s="1"/>
    </row>
    <row r="508" spans="1:3" customFormat="1" ht="15.75" customHeight="1" x14ac:dyDescent="0.25">
      <c r="A508" s="1"/>
      <c r="B508" s="1"/>
      <c r="C508" s="1"/>
    </row>
    <row r="509" spans="1:3" customFormat="1" ht="15.75" customHeight="1" x14ac:dyDescent="0.25">
      <c r="A509" s="1"/>
      <c r="B509" s="1"/>
      <c r="C509" s="1"/>
    </row>
    <row r="510" spans="1:3" customFormat="1" ht="15.75" customHeight="1" x14ac:dyDescent="0.25">
      <c r="A510" s="1"/>
      <c r="B510" s="1"/>
      <c r="C510" s="1"/>
    </row>
    <row r="511" spans="1:3" customFormat="1" ht="15.75" customHeight="1" x14ac:dyDescent="0.25">
      <c r="A511" s="1"/>
      <c r="B511" s="1"/>
      <c r="C511" s="1"/>
    </row>
    <row r="512" spans="1:3" customFormat="1" ht="15.75" customHeight="1" x14ac:dyDescent="0.25">
      <c r="A512" s="1"/>
      <c r="B512" s="1"/>
      <c r="C512" s="1"/>
    </row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</sheetData>
  <mergeCells count="2">
    <mergeCell ref="H4:I4"/>
    <mergeCell ref="E10:M10"/>
  </mergeCells>
  <pageMargins left="0.7" right="0.7" top="0.75" bottom="0.75" header="0.3" footer="0.3"/>
  <ignoredErrors>
    <ignoredError sqref="F13:F14 F15" calculatedColumn="1"/>
  </ignoredErrors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'[1]Base de datos '!#REF!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Felipe Carabali Ibarguen</dc:creator>
  <cp:lastModifiedBy>Cristian Felipe Carabali Ibarguen</cp:lastModifiedBy>
  <dcterms:created xsi:type="dcterms:W3CDTF">2026-10-25T17:32:44Z</dcterms:created>
  <dcterms:modified xsi:type="dcterms:W3CDTF">2026-10-25T19:05:21Z</dcterms:modified>
</cp:coreProperties>
</file>